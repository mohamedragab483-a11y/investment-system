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agab\Proj\"/>
    </mc:Choice>
  </mc:AlternateContent>
  <bookViews>
    <workbookView xWindow="0" yWindow="0" windowWidth="20490" windowHeight="6900" firstSheet="3" activeTab="3"/>
  </bookViews>
  <sheets>
    <sheet name="الإعدادات" sheetId="1" r:id="rId1"/>
    <sheet name="المساهمون" sheetId="2" r:id="rId2"/>
    <sheet name="المشاريع" sheetId="3" r:id="rId3"/>
    <sheet name="مساهمات المشاريع" sheetId="4" r:id="rId4"/>
    <sheet name="المبيعات" sheetId="5" r:id="rId5"/>
    <sheet name="جدول الأقساط" sheetId="6" r:id="rId6"/>
    <sheet name="تقرير مراحل المشروع" sheetId="7" r:id="rId7"/>
    <sheet name="التحصيلات" sheetId="8" r:id="rId8"/>
    <sheet name="المصروفات" sheetId="9" r:id="rId9"/>
    <sheet name="مراجعة البيانات" sheetId="10" r:id="rId10"/>
    <sheet name="التوزيعات والتسويات" sheetId="11" r:id="rId11"/>
    <sheet name="كشف حساب المساهم" sheetId="12" r:id="rId12"/>
    <sheet name="كشف حساب المشروع" sheetId="13" r:id="rId13"/>
    <sheet name="Dashboard" sheetId="14" r:id="rId14"/>
  </sheets>
  <externalReferences>
    <externalReference r:id="rId15"/>
    <externalReference r:id="rId16"/>
  </externalReferences>
  <definedNames>
    <definedName name="ColTypes">الإعدادات!$D$2:$D$6</definedName>
    <definedName name="DistTypes">الإعدادات!$B$2:$B$8</definedName>
    <definedName name="ExpTypes">الإعدادات!$C$2:$C$11</definedName>
    <definedName name="InvList">Tbl_Investors[اسم المساهم]</definedName>
    <definedName name="ProjList">Tbl_Projects[اسم المشروع]</definedName>
    <definedName name="ProjStatus">الإعدادات!$A$2:$A$5</definedName>
  </definedNames>
  <calcPr calcId="162913"/>
</workbook>
</file>

<file path=xl/calcChain.xml><?xml version="1.0" encoding="utf-8"?>
<calcChain xmlns="http://schemas.openxmlformats.org/spreadsheetml/2006/main">
  <c r="I8" i="3" l="1"/>
  <c r="K8" i="3"/>
  <c r="L8" i="3"/>
  <c r="G6" i="3"/>
  <c r="G7" i="3"/>
  <c r="G8" i="3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M8" i="3" l="1"/>
  <c r="N8" i="3"/>
  <c r="C4" i="5" l="1"/>
  <c r="C3" i="5"/>
  <c r="K6" i="3"/>
  <c r="K7" i="3"/>
  <c r="L6" i="3"/>
  <c r="L7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J15" i="14"/>
  <c r="F15" i="14"/>
  <c r="D15" i="14"/>
  <c r="B15" i="14"/>
  <c r="G10" i="14"/>
  <c r="E10" i="14"/>
  <c r="C7" i="14"/>
  <c r="B41" i="13"/>
  <c r="C41" i="13" s="1"/>
  <c r="B40" i="13"/>
  <c r="C40" i="13" s="1"/>
  <c r="H40" i="13" s="1"/>
  <c r="B39" i="13"/>
  <c r="C39" i="13" s="1"/>
  <c r="J39" i="13" s="1"/>
  <c r="B38" i="13"/>
  <c r="C38" i="13" s="1"/>
  <c r="B37" i="13"/>
  <c r="C37" i="13" s="1"/>
  <c r="B36" i="13"/>
  <c r="C36" i="13" s="1"/>
  <c r="H36" i="13" s="1"/>
  <c r="B35" i="13"/>
  <c r="C35" i="13" s="1"/>
  <c r="F35" i="13" s="1"/>
  <c r="B34" i="13"/>
  <c r="C34" i="13" s="1"/>
  <c r="B33" i="13"/>
  <c r="C33" i="13" s="1"/>
  <c r="B32" i="13"/>
  <c r="C32" i="13" s="1"/>
  <c r="H32" i="13" s="1"/>
  <c r="B31" i="13"/>
  <c r="C31" i="13" s="1"/>
  <c r="F31" i="13" s="1"/>
  <c r="B30" i="13"/>
  <c r="C30" i="13" s="1"/>
  <c r="B29" i="13"/>
  <c r="C29" i="13" s="1"/>
  <c r="B28" i="13"/>
  <c r="C28" i="13" s="1"/>
  <c r="H28" i="13" s="1"/>
  <c r="B27" i="13"/>
  <c r="C27" i="13" s="1"/>
  <c r="J27" i="13" s="1"/>
  <c r="B26" i="13"/>
  <c r="C26" i="13" s="1"/>
  <c r="H26" i="13" s="1"/>
  <c r="B25" i="13"/>
  <c r="C25" i="13" s="1"/>
  <c r="B24" i="13"/>
  <c r="C24" i="13" s="1"/>
  <c r="B23" i="13"/>
  <c r="C23" i="13" s="1"/>
  <c r="B22" i="13"/>
  <c r="C22" i="13" s="1"/>
  <c r="D22" i="13" s="1"/>
  <c r="B21" i="13"/>
  <c r="C21" i="13" s="1"/>
  <c r="B20" i="13"/>
  <c r="C20" i="13" s="1"/>
  <c r="B19" i="13"/>
  <c r="C19" i="13" s="1"/>
  <c r="B18" i="13"/>
  <c r="C18" i="13" s="1"/>
  <c r="D18" i="13" s="1"/>
  <c r="B17" i="13"/>
  <c r="C17" i="13" s="1"/>
  <c r="B16" i="13"/>
  <c r="C16" i="13" s="1"/>
  <c r="B15" i="13"/>
  <c r="C15" i="13" s="1"/>
  <c r="B14" i="13"/>
  <c r="C14" i="13" s="1"/>
  <c r="D14" i="13" s="1"/>
  <c r="B13" i="13"/>
  <c r="C13" i="13" s="1"/>
  <c r="B12" i="13"/>
  <c r="C12" i="13" s="1"/>
  <c r="B41" i="12"/>
  <c r="C41" i="12" s="1"/>
  <c r="E41" i="12" s="1"/>
  <c r="B40" i="12"/>
  <c r="C40" i="12" s="1"/>
  <c r="B39" i="12"/>
  <c r="C39" i="12" s="1"/>
  <c r="B38" i="12"/>
  <c r="C38" i="12" s="1"/>
  <c r="D38" i="12" s="1"/>
  <c r="B37" i="12"/>
  <c r="C37" i="12" s="1"/>
  <c r="I37" i="12" s="1"/>
  <c r="B36" i="12"/>
  <c r="C36" i="12" s="1"/>
  <c r="J36" i="12" s="1"/>
  <c r="B35" i="12"/>
  <c r="C35" i="12" s="1"/>
  <c r="B34" i="12"/>
  <c r="C34" i="12" s="1"/>
  <c r="B33" i="12"/>
  <c r="C33" i="12" s="1"/>
  <c r="B32" i="12"/>
  <c r="C32" i="12" s="1"/>
  <c r="I32" i="12" s="1"/>
  <c r="B31" i="12"/>
  <c r="C31" i="12" s="1"/>
  <c r="H31" i="12" s="1"/>
  <c r="B30" i="12"/>
  <c r="C30" i="12" s="1"/>
  <c r="I30" i="12" s="1"/>
  <c r="B29" i="12"/>
  <c r="C29" i="12" s="1"/>
  <c r="H29" i="12" s="1"/>
  <c r="B28" i="12"/>
  <c r="C28" i="12" s="1"/>
  <c r="B27" i="12"/>
  <c r="C27" i="12" s="1"/>
  <c r="B26" i="12"/>
  <c r="C26" i="12" s="1"/>
  <c r="I26" i="12" s="1"/>
  <c r="B25" i="12"/>
  <c r="C25" i="12" s="1"/>
  <c r="B24" i="12"/>
  <c r="C24" i="12" s="1"/>
  <c r="I24" i="12" s="1"/>
  <c r="C23" i="12"/>
  <c r="H23" i="12" s="1"/>
  <c r="B23" i="12"/>
  <c r="B22" i="12"/>
  <c r="C22" i="12" s="1"/>
  <c r="I22" i="12" s="1"/>
  <c r="B21" i="12"/>
  <c r="C21" i="12" s="1"/>
  <c r="H21" i="12" s="1"/>
  <c r="B20" i="12"/>
  <c r="C20" i="12" s="1"/>
  <c r="B19" i="12"/>
  <c r="C19" i="12" s="1"/>
  <c r="B18" i="12"/>
  <c r="C18" i="12" s="1"/>
  <c r="I18" i="12" s="1"/>
  <c r="B17" i="12"/>
  <c r="C17" i="12" s="1"/>
  <c r="B16" i="12"/>
  <c r="C16" i="12" s="1"/>
  <c r="B15" i="12"/>
  <c r="C15" i="12" s="1"/>
  <c r="B14" i="12"/>
  <c r="C14" i="12" s="1"/>
  <c r="E14" i="12" s="1"/>
  <c r="B13" i="12"/>
  <c r="C13" i="12" s="1"/>
  <c r="D13" i="12" s="1"/>
  <c r="B12" i="12"/>
  <c r="C12" i="12" s="1"/>
  <c r="E12" i="12" s="1"/>
  <c r="C7" i="12"/>
  <c r="L499" i="8"/>
  <c r="C499" i="8"/>
  <c r="L498" i="8"/>
  <c r="C498" i="8"/>
  <c r="L497" i="8"/>
  <c r="C497" i="8"/>
  <c r="L496" i="8"/>
  <c r="C496" i="8"/>
  <c r="L495" i="8"/>
  <c r="C495" i="8"/>
  <c r="L494" i="8"/>
  <c r="C494" i="8"/>
  <c r="L493" i="8"/>
  <c r="C493" i="8"/>
  <c r="L492" i="8"/>
  <c r="C492" i="8"/>
  <c r="L491" i="8"/>
  <c r="C491" i="8"/>
  <c r="L490" i="8"/>
  <c r="C490" i="8"/>
  <c r="L489" i="8"/>
  <c r="C489" i="8"/>
  <c r="L488" i="8"/>
  <c r="C488" i="8"/>
  <c r="L487" i="8"/>
  <c r="C487" i="8"/>
  <c r="L486" i="8"/>
  <c r="C486" i="8"/>
  <c r="L485" i="8"/>
  <c r="C485" i="8"/>
  <c r="L484" i="8"/>
  <c r="C484" i="8"/>
  <c r="L483" i="8"/>
  <c r="C483" i="8"/>
  <c r="L482" i="8"/>
  <c r="C482" i="8"/>
  <c r="L481" i="8"/>
  <c r="C481" i="8"/>
  <c r="L480" i="8"/>
  <c r="C480" i="8"/>
  <c r="L479" i="8"/>
  <c r="C479" i="8"/>
  <c r="L478" i="8"/>
  <c r="C478" i="8"/>
  <c r="L477" i="8"/>
  <c r="C477" i="8"/>
  <c r="L476" i="8"/>
  <c r="C476" i="8"/>
  <c r="L475" i="8"/>
  <c r="C475" i="8"/>
  <c r="L474" i="8"/>
  <c r="C474" i="8"/>
  <c r="L473" i="8"/>
  <c r="C473" i="8"/>
  <c r="L472" i="8"/>
  <c r="C472" i="8"/>
  <c r="L471" i="8"/>
  <c r="C471" i="8"/>
  <c r="L470" i="8"/>
  <c r="C470" i="8"/>
  <c r="L469" i="8"/>
  <c r="C469" i="8"/>
  <c r="L468" i="8"/>
  <c r="C468" i="8"/>
  <c r="L467" i="8"/>
  <c r="C467" i="8"/>
  <c r="L466" i="8"/>
  <c r="C466" i="8"/>
  <c r="L465" i="8"/>
  <c r="C465" i="8"/>
  <c r="L464" i="8"/>
  <c r="C464" i="8"/>
  <c r="L463" i="8"/>
  <c r="C463" i="8"/>
  <c r="L462" i="8"/>
  <c r="C462" i="8"/>
  <c r="L461" i="8"/>
  <c r="C461" i="8"/>
  <c r="L460" i="8"/>
  <c r="C460" i="8"/>
  <c r="L459" i="8"/>
  <c r="C459" i="8"/>
  <c r="L458" i="8"/>
  <c r="C458" i="8"/>
  <c r="L457" i="8"/>
  <c r="C457" i="8"/>
  <c r="L456" i="8"/>
  <c r="C456" i="8"/>
  <c r="L455" i="8"/>
  <c r="C455" i="8"/>
  <c r="L454" i="8"/>
  <c r="C454" i="8"/>
  <c r="L453" i="8"/>
  <c r="C453" i="8"/>
  <c r="L452" i="8"/>
  <c r="C452" i="8"/>
  <c r="L451" i="8"/>
  <c r="C451" i="8"/>
  <c r="L450" i="8"/>
  <c r="C450" i="8"/>
  <c r="L449" i="8"/>
  <c r="C449" i="8"/>
  <c r="L448" i="8"/>
  <c r="C448" i="8"/>
  <c r="L447" i="8"/>
  <c r="C447" i="8"/>
  <c r="L446" i="8"/>
  <c r="C446" i="8"/>
  <c r="L445" i="8"/>
  <c r="C445" i="8"/>
  <c r="L444" i="8"/>
  <c r="C444" i="8"/>
  <c r="L443" i="8"/>
  <c r="C443" i="8"/>
  <c r="L442" i="8"/>
  <c r="C442" i="8"/>
  <c r="L441" i="8"/>
  <c r="C441" i="8"/>
  <c r="L440" i="8"/>
  <c r="C440" i="8"/>
  <c r="L439" i="8"/>
  <c r="C439" i="8"/>
  <c r="L438" i="8"/>
  <c r="C438" i="8"/>
  <c r="L437" i="8"/>
  <c r="C437" i="8"/>
  <c r="L436" i="8"/>
  <c r="C436" i="8"/>
  <c r="L435" i="8"/>
  <c r="C435" i="8"/>
  <c r="L434" i="8"/>
  <c r="C434" i="8"/>
  <c r="L433" i="8"/>
  <c r="C433" i="8"/>
  <c r="L432" i="8"/>
  <c r="C432" i="8"/>
  <c r="L431" i="8"/>
  <c r="C431" i="8"/>
  <c r="L430" i="8"/>
  <c r="C430" i="8"/>
  <c r="L429" i="8"/>
  <c r="C429" i="8"/>
  <c r="L428" i="8"/>
  <c r="C428" i="8"/>
  <c r="L427" i="8"/>
  <c r="C427" i="8"/>
  <c r="L426" i="8"/>
  <c r="C426" i="8"/>
  <c r="L425" i="8"/>
  <c r="C425" i="8"/>
  <c r="L424" i="8"/>
  <c r="C424" i="8"/>
  <c r="L423" i="8"/>
  <c r="C423" i="8"/>
  <c r="L422" i="8"/>
  <c r="C422" i="8"/>
  <c r="L421" i="8"/>
  <c r="C421" i="8"/>
  <c r="L420" i="8"/>
  <c r="C420" i="8"/>
  <c r="L419" i="8"/>
  <c r="C419" i="8"/>
  <c r="L418" i="8"/>
  <c r="C418" i="8"/>
  <c r="L417" i="8"/>
  <c r="C417" i="8"/>
  <c r="L416" i="8"/>
  <c r="C416" i="8"/>
  <c r="L415" i="8"/>
  <c r="C415" i="8"/>
  <c r="L414" i="8"/>
  <c r="C414" i="8"/>
  <c r="L413" i="8"/>
  <c r="C413" i="8"/>
  <c r="L412" i="8"/>
  <c r="C412" i="8"/>
  <c r="L411" i="8"/>
  <c r="C411" i="8"/>
  <c r="L410" i="8"/>
  <c r="C410" i="8"/>
  <c r="L409" i="8"/>
  <c r="C409" i="8"/>
  <c r="L408" i="8"/>
  <c r="C408" i="8"/>
  <c r="L407" i="8"/>
  <c r="C407" i="8"/>
  <c r="L406" i="8"/>
  <c r="C406" i="8"/>
  <c r="L405" i="8"/>
  <c r="C405" i="8"/>
  <c r="L404" i="8"/>
  <c r="C404" i="8"/>
  <c r="L403" i="8"/>
  <c r="C403" i="8"/>
  <c r="L402" i="8"/>
  <c r="C402" i="8"/>
  <c r="L401" i="8"/>
  <c r="C401" i="8"/>
  <c r="L400" i="8"/>
  <c r="C400" i="8"/>
  <c r="L399" i="8"/>
  <c r="C399" i="8"/>
  <c r="L398" i="8"/>
  <c r="C398" i="8"/>
  <c r="L397" i="8"/>
  <c r="C397" i="8"/>
  <c r="L396" i="8"/>
  <c r="C396" i="8"/>
  <c r="L395" i="8"/>
  <c r="C395" i="8"/>
  <c r="L394" i="8"/>
  <c r="C394" i="8"/>
  <c r="L393" i="8"/>
  <c r="C393" i="8"/>
  <c r="L392" i="8"/>
  <c r="C392" i="8"/>
  <c r="L391" i="8"/>
  <c r="C391" i="8"/>
  <c r="L390" i="8"/>
  <c r="C390" i="8"/>
  <c r="L389" i="8"/>
  <c r="C389" i="8"/>
  <c r="L388" i="8"/>
  <c r="C388" i="8"/>
  <c r="L387" i="8"/>
  <c r="C387" i="8"/>
  <c r="L386" i="8"/>
  <c r="C386" i="8"/>
  <c r="L385" i="8"/>
  <c r="C385" i="8"/>
  <c r="L384" i="8"/>
  <c r="C384" i="8"/>
  <c r="L383" i="8"/>
  <c r="C383" i="8"/>
  <c r="L382" i="8"/>
  <c r="C382" i="8"/>
  <c r="L381" i="8"/>
  <c r="C381" i="8"/>
  <c r="L380" i="8"/>
  <c r="C380" i="8"/>
  <c r="L379" i="8"/>
  <c r="C379" i="8"/>
  <c r="L378" i="8"/>
  <c r="C378" i="8"/>
  <c r="L377" i="8"/>
  <c r="C377" i="8"/>
  <c r="L376" i="8"/>
  <c r="C376" i="8"/>
  <c r="L375" i="8"/>
  <c r="C375" i="8"/>
  <c r="L374" i="8"/>
  <c r="C374" i="8"/>
  <c r="L373" i="8"/>
  <c r="C373" i="8"/>
  <c r="L372" i="8"/>
  <c r="C372" i="8"/>
  <c r="L371" i="8"/>
  <c r="C371" i="8"/>
  <c r="L370" i="8"/>
  <c r="C370" i="8"/>
  <c r="L369" i="8"/>
  <c r="C369" i="8"/>
  <c r="L368" i="8"/>
  <c r="C368" i="8"/>
  <c r="L367" i="8"/>
  <c r="C367" i="8"/>
  <c r="L366" i="8"/>
  <c r="C366" i="8"/>
  <c r="L365" i="8"/>
  <c r="C365" i="8"/>
  <c r="L364" i="8"/>
  <c r="C364" i="8"/>
  <c r="L363" i="8"/>
  <c r="C363" i="8"/>
  <c r="L362" i="8"/>
  <c r="C362" i="8"/>
  <c r="L361" i="8"/>
  <c r="C361" i="8"/>
  <c r="L360" i="8"/>
  <c r="C360" i="8"/>
  <c r="L359" i="8"/>
  <c r="C359" i="8"/>
  <c r="L358" i="8"/>
  <c r="C358" i="8"/>
  <c r="L357" i="8"/>
  <c r="C357" i="8"/>
  <c r="L356" i="8"/>
  <c r="C356" i="8"/>
  <c r="L355" i="8"/>
  <c r="C355" i="8"/>
  <c r="L354" i="8"/>
  <c r="C354" i="8"/>
  <c r="L353" i="8"/>
  <c r="C353" i="8"/>
  <c r="L352" i="8"/>
  <c r="C352" i="8"/>
  <c r="L351" i="8"/>
  <c r="C351" i="8"/>
  <c r="L350" i="8"/>
  <c r="C350" i="8"/>
  <c r="L349" i="8"/>
  <c r="C349" i="8"/>
  <c r="L348" i="8"/>
  <c r="C348" i="8"/>
  <c r="L347" i="8"/>
  <c r="C347" i="8"/>
  <c r="L346" i="8"/>
  <c r="C346" i="8"/>
  <c r="L345" i="8"/>
  <c r="C345" i="8"/>
  <c r="L344" i="8"/>
  <c r="C344" i="8"/>
  <c r="L343" i="8"/>
  <c r="C343" i="8"/>
  <c r="L342" i="8"/>
  <c r="C342" i="8"/>
  <c r="L341" i="8"/>
  <c r="C341" i="8"/>
  <c r="L340" i="8"/>
  <c r="C340" i="8"/>
  <c r="L339" i="8"/>
  <c r="C339" i="8"/>
  <c r="L338" i="8"/>
  <c r="C338" i="8"/>
  <c r="L337" i="8"/>
  <c r="C337" i="8"/>
  <c r="L336" i="8"/>
  <c r="C336" i="8"/>
  <c r="L335" i="8"/>
  <c r="C335" i="8"/>
  <c r="L334" i="8"/>
  <c r="C334" i="8"/>
  <c r="L333" i="8"/>
  <c r="C333" i="8"/>
  <c r="L332" i="8"/>
  <c r="C332" i="8"/>
  <c r="L331" i="8"/>
  <c r="C331" i="8"/>
  <c r="L330" i="8"/>
  <c r="C330" i="8"/>
  <c r="L329" i="8"/>
  <c r="C329" i="8"/>
  <c r="L328" i="8"/>
  <c r="C328" i="8"/>
  <c r="L327" i="8"/>
  <c r="C327" i="8"/>
  <c r="L326" i="8"/>
  <c r="C326" i="8"/>
  <c r="L325" i="8"/>
  <c r="C325" i="8"/>
  <c r="L324" i="8"/>
  <c r="C324" i="8"/>
  <c r="L323" i="8"/>
  <c r="C323" i="8"/>
  <c r="L322" i="8"/>
  <c r="C322" i="8"/>
  <c r="L321" i="8"/>
  <c r="C321" i="8"/>
  <c r="L320" i="8"/>
  <c r="C320" i="8"/>
  <c r="L319" i="8"/>
  <c r="C319" i="8"/>
  <c r="L318" i="8"/>
  <c r="C318" i="8"/>
  <c r="L317" i="8"/>
  <c r="C317" i="8"/>
  <c r="L316" i="8"/>
  <c r="C316" i="8"/>
  <c r="L315" i="8"/>
  <c r="C315" i="8"/>
  <c r="L314" i="8"/>
  <c r="C314" i="8"/>
  <c r="L313" i="8"/>
  <c r="C313" i="8"/>
  <c r="L312" i="8"/>
  <c r="C312" i="8"/>
  <c r="L311" i="8"/>
  <c r="C311" i="8"/>
  <c r="L310" i="8"/>
  <c r="C310" i="8"/>
  <c r="L309" i="8"/>
  <c r="C309" i="8"/>
  <c r="L308" i="8"/>
  <c r="C308" i="8"/>
  <c r="L307" i="8"/>
  <c r="C307" i="8"/>
  <c r="L306" i="8"/>
  <c r="C306" i="8"/>
  <c r="L305" i="8"/>
  <c r="C305" i="8"/>
  <c r="L304" i="8"/>
  <c r="C304" i="8"/>
  <c r="L303" i="8"/>
  <c r="C303" i="8"/>
  <c r="L302" i="8"/>
  <c r="C302" i="8"/>
  <c r="L301" i="8"/>
  <c r="C301" i="8"/>
  <c r="L300" i="8"/>
  <c r="C300" i="8"/>
  <c r="L299" i="8"/>
  <c r="C299" i="8"/>
  <c r="L298" i="8"/>
  <c r="C298" i="8"/>
  <c r="L297" i="8"/>
  <c r="C297" i="8"/>
  <c r="L296" i="8"/>
  <c r="C296" i="8"/>
  <c r="L295" i="8"/>
  <c r="C295" i="8"/>
  <c r="L294" i="8"/>
  <c r="C294" i="8"/>
  <c r="L293" i="8"/>
  <c r="C293" i="8"/>
  <c r="L292" i="8"/>
  <c r="C292" i="8"/>
  <c r="L291" i="8"/>
  <c r="C291" i="8"/>
  <c r="L290" i="8"/>
  <c r="C290" i="8"/>
  <c r="L289" i="8"/>
  <c r="C289" i="8"/>
  <c r="L288" i="8"/>
  <c r="C288" i="8"/>
  <c r="L287" i="8"/>
  <c r="C287" i="8"/>
  <c r="L286" i="8"/>
  <c r="C286" i="8"/>
  <c r="L285" i="8"/>
  <c r="C285" i="8"/>
  <c r="L284" i="8"/>
  <c r="C284" i="8"/>
  <c r="L283" i="8"/>
  <c r="C283" i="8"/>
  <c r="L282" i="8"/>
  <c r="C282" i="8"/>
  <c r="L281" i="8"/>
  <c r="C281" i="8"/>
  <c r="L280" i="8"/>
  <c r="C280" i="8"/>
  <c r="L279" i="8"/>
  <c r="C279" i="8"/>
  <c r="L278" i="8"/>
  <c r="C278" i="8"/>
  <c r="L277" i="8"/>
  <c r="C277" i="8"/>
  <c r="L276" i="8"/>
  <c r="C276" i="8"/>
  <c r="L275" i="8"/>
  <c r="C275" i="8"/>
  <c r="L274" i="8"/>
  <c r="C274" i="8"/>
  <c r="L273" i="8"/>
  <c r="C273" i="8"/>
  <c r="L272" i="8"/>
  <c r="C272" i="8"/>
  <c r="L271" i="8"/>
  <c r="C271" i="8"/>
  <c r="L270" i="8"/>
  <c r="C270" i="8"/>
  <c r="L269" i="8"/>
  <c r="C269" i="8"/>
  <c r="L268" i="8"/>
  <c r="C268" i="8"/>
  <c r="L267" i="8"/>
  <c r="C267" i="8"/>
  <c r="L266" i="8"/>
  <c r="C266" i="8"/>
  <c r="L265" i="8"/>
  <c r="C265" i="8"/>
  <c r="L264" i="8"/>
  <c r="C264" i="8"/>
  <c r="L263" i="8"/>
  <c r="C263" i="8"/>
  <c r="L262" i="8"/>
  <c r="C262" i="8"/>
  <c r="L261" i="8"/>
  <c r="C261" i="8"/>
  <c r="L260" i="8"/>
  <c r="C260" i="8"/>
  <c r="L259" i="8"/>
  <c r="C259" i="8"/>
  <c r="L258" i="8"/>
  <c r="C258" i="8"/>
  <c r="L257" i="8"/>
  <c r="C257" i="8"/>
  <c r="L256" i="8"/>
  <c r="C256" i="8"/>
  <c r="L255" i="8"/>
  <c r="C255" i="8"/>
  <c r="L254" i="8"/>
  <c r="C254" i="8"/>
  <c r="L253" i="8"/>
  <c r="C253" i="8"/>
  <c r="L252" i="8"/>
  <c r="C252" i="8"/>
  <c r="L251" i="8"/>
  <c r="C251" i="8"/>
  <c r="L250" i="8"/>
  <c r="C250" i="8"/>
  <c r="L249" i="8"/>
  <c r="C249" i="8"/>
  <c r="L248" i="8"/>
  <c r="C248" i="8"/>
  <c r="L247" i="8"/>
  <c r="C247" i="8"/>
  <c r="L246" i="8"/>
  <c r="C246" i="8"/>
  <c r="L245" i="8"/>
  <c r="C245" i="8"/>
  <c r="L244" i="8"/>
  <c r="C244" i="8"/>
  <c r="L243" i="8"/>
  <c r="C243" i="8"/>
  <c r="L242" i="8"/>
  <c r="C242" i="8"/>
  <c r="L241" i="8"/>
  <c r="C241" i="8"/>
  <c r="L240" i="8"/>
  <c r="C240" i="8"/>
  <c r="L239" i="8"/>
  <c r="C239" i="8"/>
  <c r="L238" i="8"/>
  <c r="C238" i="8"/>
  <c r="L237" i="8"/>
  <c r="C237" i="8"/>
  <c r="L236" i="8"/>
  <c r="C236" i="8"/>
  <c r="L235" i="8"/>
  <c r="C235" i="8"/>
  <c r="L234" i="8"/>
  <c r="C234" i="8"/>
  <c r="L233" i="8"/>
  <c r="C233" i="8"/>
  <c r="L232" i="8"/>
  <c r="C232" i="8"/>
  <c r="L231" i="8"/>
  <c r="C231" i="8"/>
  <c r="L230" i="8"/>
  <c r="C230" i="8"/>
  <c r="L229" i="8"/>
  <c r="C229" i="8"/>
  <c r="L228" i="8"/>
  <c r="C228" i="8"/>
  <c r="L227" i="8"/>
  <c r="C227" i="8"/>
  <c r="L226" i="8"/>
  <c r="C226" i="8"/>
  <c r="L225" i="8"/>
  <c r="C225" i="8"/>
  <c r="L224" i="8"/>
  <c r="C224" i="8"/>
  <c r="L223" i="8"/>
  <c r="C223" i="8"/>
  <c r="L222" i="8"/>
  <c r="C222" i="8"/>
  <c r="L221" i="8"/>
  <c r="C221" i="8"/>
  <c r="L220" i="8"/>
  <c r="C220" i="8"/>
  <c r="L219" i="8"/>
  <c r="C219" i="8"/>
  <c r="L218" i="8"/>
  <c r="C218" i="8"/>
  <c r="L217" i="8"/>
  <c r="C217" i="8"/>
  <c r="L216" i="8"/>
  <c r="C216" i="8"/>
  <c r="L215" i="8"/>
  <c r="C215" i="8"/>
  <c r="L214" i="8"/>
  <c r="C214" i="8"/>
  <c r="L213" i="8"/>
  <c r="C213" i="8"/>
  <c r="L212" i="8"/>
  <c r="C212" i="8"/>
  <c r="L211" i="8"/>
  <c r="C211" i="8"/>
  <c r="L210" i="8"/>
  <c r="C210" i="8"/>
  <c r="L209" i="8"/>
  <c r="C209" i="8"/>
  <c r="L208" i="8"/>
  <c r="C208" i="8"/>
  <c r="L207" i="8"/>
  <c r="C207" i="8"/>
  <c r="L206" i="8"/>
  <c r="C206" i="8"/>
  <c r="L205" i="8"/>
  <c r="C205" i="8"/>
  <c r="L204" i="8"/>
  <c r="C204" i="8"/>
  <c r="L203" i="8"/>
  <c r="C203" i="8"/>
  <c r="L202" i="8"/>
  <c r="C202" i="8"/>
  <c r="L201" i="8"/>
  <c r="C201" i="8"/>
  <c r="L200" i="8"/>
  <c r="C200" i="8"/>
  <c r="L199" i="8"/>
  <c r="C199" i="8"/>
  <c r="L198" i="8"/>
  <c r="C198" i="8"/>
  <c r="L197" i="8"/>
  <c r="C197" i="8"/>
  <c r="L196" i="8"/>
  <c r="C196" i="8"/>
  <c r="L195" i="8"/>
  <c r="C195" i="8"/>
  <c r="L194" i="8"/>
  <c r="C194" i="8"/>
  <c r="L193" i="8"/>
  <c r="C193" i="8"/>
  <c r="L192" i="8"/>
  <c r="C192" i="8"/>
  <c r="L191" i="8"/>
  <c r="C191" i="8"/>
  <c r="L190" i="8"/>
  <c r="C190" i="8"/>
  <c r="L189" i="8"/>
  <c r="C189" i="8"/>
  <c r="L188" i="8"/>
  <c r="C188" i="8"/>
  <c r="L187" i="8"/>
  <c r="C187" i="8"/>
  <c r="L186" i="8"/>
  <c r="C186" i="8"/>
  <c r="L185" i="8"/>
  <c r="C185" i="8"/>
  <c r="L184" i="8"/>
  <c r="C184" i="8"/>
  <c r="L183" i="8"/>
  <c r="C183" i="8"/>
  <c r="L182" i="8"/>
  <c r="C182" i="8"/>
  <c r="L181" i="8"/>
  <c r="C181" i="8"/>
  <c r="L180" i="8"/>
  <c r="C180" i="8"/>
  <c r="L179" i="8"/>
  <c r="C179" i="8"/>
  <c r="L178" i="8"/>
  <c r="C178" i="8"/>
  <c r="L177" i="8"/>
  <c r="C177" i="8"/>
  <c r="L176" i="8"/>
  <c r="C176" i="8"/>
  <c r="L175" i="8"/>
  <c r="C175" i="8"/>
  <c r="L174" i="8"/>
  <c r="C174" i="8"/>
  <c r="L173" i="8"/>
  <c r="C173" i="8"/>
  <c r="L172" i="8"/>
  <c r="C172" i="8"/>
  <c r="L171" i="8"/>
  <c r="C171" i="8"/>
  <c r="L170" i="8"/>
  <c r="C170" i="8"/>
  <c r="L169" i="8"/>
  <c r="C169" i="8"/>
  <c r="L168" i="8"/>
  <c r="C168" i="8"/>
  <c r="L167" i="8"/>
  <c r="C167" i="8"/>
  <c r="L166" i="8"/>
  <c r="C166" i="8"/>
  <c r="L165" i="8"/>
  <c r="C165" i="8"/>
  <c r="L164" i="8"/>
  <c r="C164" i="8"/>
  <c r="L163" i="8"/>
  <c r="C163" i="8"/>
  <c r="L162" i="8"/>
  <c r="C162" i="8"/>
  <c r="L161" i="8"/>
  <c r="C161" i="8"/>
  <c r="L160" i="8"/>
  <c r="C160" i="8"/>
  <c r="L159" i="8"/>
  <c r="C159" i="8"/>
  <c r="L158" i="8"/>
  <c r="C158" i="8"/>
  <c r="L157" i="8"/>
  <c r="C157" i="8"/>
  <c r="L156" i="8"/>
  <c r="C156" i="8"/>
  <c r="L155" i="8"/>
  <c r="C155" i="8"/>
  <c r="L154" i="8"/>
  <c r="C154" i="8"/>
  <c r="L153" i="8"/>
  <c r="C153" i="8"/>
  <c r="L152" i="8"/>
  <c r="C152" i="8"/>
  <c r="L151" i="8"/>
  <c r="C151" i="8"/>
  <c r="L150" i="8"/>
  <c r="C150" i="8"/>
  <c r="L149" i="8"/>
  <c r="C149" i="8"/>
  <c r="L148" i="8"/>
  <c r="C148" i="8"/>
  <c r="L147" i="8"/>
  <c r="C147" i="8"/>
  <c r="L146" i="8"/>
  <c r="C146" i="8"/>
  <c r="L145" i="8"/>
  <c r="C145" i="8"/>
  <c r="L144" i="8"/>
  <c r="C144" i="8"/>
  <c r="L143" i="8"/>
  <c r="C143" i="8"/>
  <c r="L142" i="8"/>
  <c r="C142" i="8"/>
  <c r="L141" i="8"/>
  <c r="C141" i="8"/>
  <c r="L140" i="8"/>
  <c r="C140" i="8"/>
  <c r="L139" i="8"/>
  <c r="C139" i="8"/>
  <c r="L138" i="8"/>
  <c r="C138" i="8"/>
  <c r="L137" i="8"/>
  <c r="C137" i="8"/>
  <c r="L136" i="8"/>
  <c r="C136" i="8"/>
  <c r="L135" i="8"/>
  <c r="C135" i="8"/>
  <c r="L134" i="8"/>
  <c r="C134" i="8"/>
  <c r="L133" i="8"/>
  <c r="C133" i="8"/>
  <c r="L132" i="8"/>
  <c r="C132" i="8"/>
  <c r="L131" i="8"/>
  <c r="C131" i="8"/>
  <c r="L130" i="8"/>
  <c r="C130" i="8"/>
  <c r="L129" i="8"/>
  <c r="C129" i="8"/>
  <c r="L128" i="8"/>
  <c r="C128" i="8"/>
  <c r="L127" i="8"/>
  <c r="C127" i="8"/>
  <c r="L126" i="8"/>
  <c r="C126" i="8"/>
  <c r="L125" i="8"/>
  <c r="C125" i="8"/>
  <c r="L124" i="8"/>
  <c r="C124" i="8"/>
  <c r="L123" i="8"/>
  <c r="C123" i="8"/>
  <c r="L122" i="8"/>
  <c r="C122" i="8"/>
  <c r="L121" i="8"/>
  <c r="C121" i="8"/>
  <c r="L120" i="8"/>
  <c r="C120" i="8"/>
  <c r="L119" i="8"/>
  <c r="C119" i="8"/>
  <c r="L118" i="8"/>
  <c r="C118" i="8"/>
  <c r="L117" i="8"/>
  <c r="C117" i="8"/>
  <c r="L116" i="8"/>
  <c r="C116" i="8"/>
  <c r="L115" i="8"/>
  <c r="C115" i="8"/>
  <c r="L114" i="8"/>
  <c r="C114" i="8"/>
  <c r="L113" i="8"/>
  <c r="C113" i="8"/>
  <c r="L112" i="8"/>
  <c r="C112" i="8"/>
  <c r="L111" i="8"/>
  <c r="C111" i="8"/>
  <c r="L110" i="8"/>
  <c r="C110" i="8"/>
  <c r="L109" i="8"/>
  <c r="C109" i="8"/>
  <c r="L108" i="8"/>
  <c r="C108" i="8"/>
  <c r="L107" i="8"/>
  <c r="C107" i="8"/>
  <c r="L106" i="8"/>
  <c r="C106" i="8"/>
  <c r="L105" i="8"/>
  <c r="C105" i="8"/>
  <c r="L104" i="8"/>
  <c r="C104" i="8"/>
  <c r="L103" i="8"/>
  <c r="C103" i="8"/>
  <c r="L102" i="8"/>
  <c r="C102" i="8"/>
  <c r="L101" i="8"/>
  <c r="C101" i="8"/>
  <c r="L100" i="8"/>
  <c r="C100" i="8"/>
  <c r="L99" i="8"/>
  <c r="C99" i="8"/>
  <c r="L98" i="8"/>
  <c r="C98" i="8"/>
  <c r="L97" i="8"/>
  <c r="C97" i="8"/>
  <c r="L96" i="8"/>
  <c r="C96" i="8"/>
  <c r="L95" i="8"/>
  <c r="C95" i="8"/>
  <c r="L94" i="8"/>
  <c r="C94" i="8"/>
  <c r="L93" i="8"/>
  <c r="C93" i="8"/>
  <c r="L92" i="8"/>
  <c r="C92" i="8"/>
  <c r="L91" i="8"/>
  <c r="C91" i="8"/>
  <c r="L90" i="8"/>
  <c r="C90" i="8"/>
  <c r="L89" i="8"/>
  <c r="C89" i="8"/>
  <c r="L88" i="8"/>
  <c r="C88" i="8"/>
  <c r="L87" i="8"/>
  <c r="C87" i="8"/>
  <c r="L86" i="8"/>
  <c r="C86" i="8"/>
  <c r="L85" i="8"/>
  <c r="C85" i="8"/>
  <c r="L84" i="8"/>
  <c r="C84" i="8"/>
  <c r="L83" i="8"/>
  <c r="C83" i="8"/>
  <c r="L82" i="8"/>
  <c r="C82" i="8"/>
  <c r="L81" i="8"/>
  <c r="C81" i="8"/>
  <c r="L80" i="8"/>
  <c r="C80" i="8"/>
  <c r="L79" i="8"/>
  <c r="C79" i="8"/>
  <c r="L78" i="8"/>
  <c r="C78" i="8"/>
  <c r="L77" i="8"/>
  <c r="C77" i="8"/>
  <c r="L76" i="8"/>
  <c r="C76" i="8"/>
  <c r="L75" i="8"/>
  <c r="C75" i="8"/>
  <c r="L74" i="8"/>
  <c r="C74" i="8"/>
  <c r="L73" i="8"/>
  <c r="C73" i="8"/>
  <c r="L72" i="8"/>
  <c r="C72" i="8"/>
  <c r="L71" i="8"/>
  <c r="C71" i="8"/>
  <c r="L70" i="8"/>
  <c r="C70" i="8"/>
  <c r="L69" i="8"/>
  <c r="C69" i="8"/>
  <c r="L68" i="8"/>
  <c r="C68" i="8"/>
  <c r="L67" i="8"/>
  <c r="C67" i="8"/>
  <c r="L66" i="8"/>
  <c r="C66" i="8"/>
  <c r="L65" i="8"/>
  <c r="C65" i="8"/>
  <c r="L64" i="8"/>
  <c r="C64" i="8"/>
  <c r="L63" i="8"/>
  <c r="C63" i="8"/>
  <c r="L62" i="8"/>
  <c r="C62" i="8"/>
  <c r="L61" i="8"/>
  <c r="C61" i="8"/>
  <c r="L60" i="8"/>
  <c r="C60" i="8"/>
  <c r="L59" i="8"/>
  <c r="C59" i="8"/>
  <c r="L58" i="8"/>
  <c r="C58" i="8"/>
  <c r="L57" i="8"/>
  <c r="C57" i="8"/>
  <c r="L56" i="8"/>
  <c r="C56" i="8"/>
  <c r="L55" i="8"/>
  <c r="C55" i="8"/>
  <c r="L54" i="8"/>
  <c r="C54" i="8"/>
  <c r="L53" i="8"/>
  <c r="C53" i="8"/>
  <c r="L52" i="8"/>
  <c r="C52" i="8"/>
  <c r="L51" i="8"/>
  <c r="C51" i="8"/>
  <c r="L50" i="8"/>
  <c r="C50" i="8"/>
  <c r="L49" i="8"/>
  <c r="C49" i="8"/>
  <c r="L48" i="8"/>
  <c r="C48" i="8"/>
  <c r="L47" i="8"/>
  <c r="C47" i="8"/>
  <c r="L46" i="8"/>
  <c r="C46" i="8"/>
  <c r="L45" i="8"/>
  <c r="C45" i="8"/>
  <c r="L44" i="8"/>
  <c r="C44" i="8"/>
  <c r="L43" i="8"/>
  <c r="C43" i="8"/>
  <c r="L42" i="8"/>
  <c r="C42" i="8"/>
  <c r="L41" i="8"/>
  <c r="C41" i="8"/>
  <c r="L40" i="8"/>
  <c r="C40" i="8"/>
  <c r="L39" i="8"/>
  <c r="C39" i="8"/>
  <c r="L38" i="8"/>
  <c r="C38" i="8"/>
  <c r="L37" i="8"/>
  <c r="C37" i="8"/>
  <c r="L36" i="8"/>
  <c r="C36" i="8"/>
  <c r="L35" i="8"/>
  <c r="C35" i="8"/>
  <c r="L34" i="8"/>
  <c r="C34" i="8"/>
  <c r="L33" i="8"/>
  <c r="C33" i="8"/>
  <c r="L32" i="8"/>
  <c r="C32" i="8"/>
  <c r="L31" i="8"/>
  <c r="C31" i="8"/>
  <c r="L30" i="8"/>
  <c r="C30" i="8"/>
  <c r="L29" i="8"/>
  <c r="C29" i="8"/>
  <c r="L28" i="8"/>
  <c r="C28" i="8"/>
  <c r="L27" i="8"/>
  <c r="C27" i="8"/>
  <c r="L26" i="8"/>
  <c r="C26" i="8"/>
  <c r="L25" i="8"/>
  <c r="C25" i="8"/>
  <c r="L24" i="8"/>
  <c r="C24" i="8"/>
  <c r="L23" i="8"/>
  <c r="C23" i="8"/>
  <c r="L22" i="8"/>
  <c r="C22" i="8"/>
  <c r="L21" i="8"/>
  <c r="C21" i="8"/>
  <c r="L20" i="8"/>
  <c r="C20" i="8"/>
  <c r="L19" i="8"/>
  <c r="C19" i="8"/>
  <c r="L18" i="8"/>
  <c r="C18" i="8"/>
  <c r="L17" i="8"/>
  <c r="C17" i="8"/>
  <c r="L16" i="8"/>
  <c r="C16" i="8"/>
  <c r="L15" i="8"/>
  <c r="C15" i="8"/>
  <c r="L14" i="8"/>
  <c r="C14" i="8"/>
  <c r="L13" i="8"/>
  <c r="L12" i="8"/>
  <c r="L11" i="8"/>
  <c r="C11" i="8"/>
  <c r="L10" i="8"/>
  <c r="C10" i="8"/>
  <c r="L9" i="8"/>
  <c r="C9" i="8"/>
  <c r="L8" i="8"/>
  <c r="C8" i="8"/>
  <c r="L7" i="8"/>
  <c r="L6" i="8"/>
  <c r="L5" i="8"/>
  <c r="L4" i="8"/>
  <c r="L3" i="8"/>
  <c r="F3" i="7"/>
  <c r="C3" i="7"/>
  <c r="B3" i="7"/>
  <c r="H499" i="6"/>
  <c r="G499" i="6"/>
  <c r="F499" i="6"/>
  <c r="C499" i="6"/>
  <c r="H498" i="6"/>
  <c r="G498" i="6"/>
  <c r="F498" i="6"/>
  <c r="C498" i="6"/>
  <c r="H497" i="6"/>
  <c r="G497" i="6"/>
  <c r="F497" i="6"/>
  <c r="C497" i="6"/>
  <c r="H496" i="6"/>
  <c r="G496" i="6"/>
  <c r="F496" i="6"/>
  <c r="C496" i="6"/>
  <c r="H495" i="6"/>
  <c r="G495" i="6"/>
  <c r="F495" i="6"/>
  <c r="C495" i="6"/>
  <c r="H494" i="6"/>
  <c r="G494" i="6"/>
  <c r="F494" i="6"/>
  <c r="C494" i="6"/>
  <c r="H493" i="6"/>
  <c r="G493" i="6"/>
  <c r="F493" i="6"/>
  <c r="C493" i="6"/>
  <c r="H492" i="6"/>
  <c r="G492" i="6"/>
  <c r="F492" i="6"/>
  <c r="C492" i="6"/>
  <c r="H491" i="6"/>
  <c r="G491" i="6"/>
  <c r="F491" i="6"/>
  <c r="C491" i="6"/>
  <c r="H490" i="6"/>
  <c r="G490" i="6"/>
  <c r="F490" i="6"/>
  <c r="C490" i="6"/>
  <c r="H489" i="6"/>
  <c r="G489" i="6"/>
  <c r="F489" i="6"/>
  <c r="C489" i="6"/>
  <c r="H488" i="6"/>
  <c r="G488" i="6"/>
  <c r="F488" i="6"/>
  <c r="C488" i="6"/>
  <c r="H487" i="6"/>
  <c r="G487" i="6"/>
  <c r="F487" i="6"/>
  <c r="C487" i="6"/>
  <c r="H486" i="6"/>
  <c r="G486" i="6"/>
  <c r="F486" i="6"/>
  <c r="C486" i="6"/>
  <c r="H485" i="6"/>
  <c r="G485" i="6"/>
  <c r="F485" i="6"/>
  <c r="C485" i="6"/>
  <c r="H484" i="6"/>
  <c r="G484" i="6"/>
  <c r="F484" i="6"/>
  <c r="C484" i="6"/>
  <c r="H483" i="6"/>
  <c r="G483" i="6"/>
  <c r="F483" i="6"/>
  <c r="C483" i="6"/>
  <c r="H482" i="6"/>
  <c r="G482" i="6"/>
  <c r="F482" i="6"/>
  <c r="C482" i="6"/>
  <c r="H481" i="6"/>
  <c r="G481" i="6"/>
  <c r="F481" i="6"/>
  <c r="C481" i="6"/>
  <c r="H480" i="6"/>
  <c r="G480" i="6"/>
  <c r="F480" i="6"/>
  <c r="C480" i="6"/>
  <c r="H479" i="6"/>
  <c r="G479" i="6"/>
  <c r="F479" i="6"/>
  <c r="C479" i="6"/>
  <c r="H478" i="6"/>
  <c r="G478" i="6"/>
  <c r="F478" i="6"/>
  <c r="C478" i="6"/>
  <c r="H477" i="6"/>
  <c r="G477" i="6"/>
  <c r="F477" i="6"/>
  <c r="C477" i="6"/>
  <c r="H476" i="6"/>
  <c r="G476" i="6"/>
  <c r="F476" i="6"/>
  <c r="C476" i="6"/>
  <c r="H475" i="6"/>
  <c r="G475" i="6"/>
  <c r="F475" i="6"/>
  <c r="C475" i="6"/>
  <c r="H474" i="6"/>
  <c r="G474" i="6"/>
  <c r="F474" i="6"/>
  <c r="C474" i="6"/>
  <c r="H473" i="6"/>
  <c r="G473" i="6"/>
  <c r="F473" i="6"/>
  <c r="C473" i="6"/>
  <c r="H472" i="6"/>
  <c r="G472" i="6"/>
  <c r="F472" i="6"/>
  <c r="C472" i="6"/>
  <c r="H471" i="6"/>
  <c r="G471" i="6"/>
  <c r="F471" i="6"/>
  <c r="C471" i="6"/>
  <c r="H470" i="6"/>
  <c r="G470" i="6"/>
  <c r="F470" i="6"/>
  <c r="C470" i="6"/>
  <c r="H469" i="6"/>
  <c r="G469" i="6"/>
  <c r="F469" i="6"/>
  <c r="C469" i="6"/>
  <c r="H468" i="6"/>
  <c r="G468" i="6"/>
  <c r="F468" i="6"/>
  <c r="C468" i="6"/>
  <c r="H467" i="6"/>
  <c r="G467" i="6"/>
  <c r="F467" i="6"/>
  <c r="C467" i="6"/>
  <c r="H466" i="6"/>
  <c r="G466" i="6"/>
  <c r="F466" i="6"/>
  <c r="C466" i="6"/>
  <c r="H465" i="6"/>
  <c r="G465" i="6"/>
  <c r="F465" i="6"/>
  <c r="C465" i="6"/>
  <c r="H464" i="6"/>
  <c r="G464" i="6"/>
  <c r="F464" i="6"/>
  <c r="C464" i="6"/>
  <c r="H463" i="6"/>
  <c r="G463" i="6"/>
  <c r="F463" i="6"/>
  <c r="C463" i="6"/>
  <c r="H462" i="6"/>
  <c r="G462" i="6"/>
  <c r="F462" i="6"/>
  <c r="C462" i="6"/>
  <c r="H461" i="6"/>
  <c r="G461" i="6"/>
  <c r="F461" i="6"/>
  <c r="C461" i="6"/>
  <c r="H460" i="6"/>
  <c r="G460" i="6"/>
  <c r="F460" i="6"/>
  <c r="C460" i="6"/>
  <c r="H459" i="6"/>
  <c r="G459" i="6"/>
  <c r="F459" i="6"/>
  <c r="C459" i="6"/>
  <c r="H458" i="6"/>
  <c r="G458" i="6"/>
  <c r="F458" i="6"/>
  <c r="C458" i="6"/>
  <c r="H457" i="6"/>
  <c r="G457" i="6"/>
  <c r="F457" i="6"/>
  <c r="C457" i="6"/>
  <c r="H456" i="6"/>
  <c r="G456" i="6"/>
  <c r="F456" i="6"/>
  <c r="C456" i="6"/>
  <c r="H455" i="6"/>
  <c r="G455" i="6"/>
  <c r="F455" i="6"/>
  <c r="C455" i="6"/>
  <c r="H454" i="6"/>
  <c r="G454" i="6"/>
  <c r="F454" i="6"/>
  <c r="C454" i="6"/>
  <c r="H453" i="6"/>
  <c r="G453" i="6"/>
  <c r="F453" i="6"/>
  <c r="C453" i="6"/>
  <c r="H452" i="6"/>
  <c r="G452" i="6"/>
  <c r="F452" i="6"/>
  <c r="C452" i="6"/>
  <c r="H451" i="6"/>
  <c r="G451" i="6"/>
  <c r="F451" i="6"/>
  <c r="C451" i="6"/>
  <c r="H450" i="6"/>
  <c r="G450" i="6"/>
  <c r="F450" i="6"/>
  <c r="C450" i="6"/>
  <c r="H449" i="6"/>
  <c r="G449" i="6"/>
  <c r="F449" i="6"/>
  <c r="C449" i="6"/>
  <c r="H448" i="6"/>
  <c r="G448" i="6"/>
  <c r="F448" i="6"/>
  <c r="C448" i="6"/>
  <c r="H447" i="6"/>
  <c r="G447" i="6"/>
  <c r="F447" i="6"/>
  <c r="C447" i="6"/>
  <c r="H446" i="6"/>
  <c r="G446" i="6"/>
  <c r="F446" i="6"/>
  <c r="C446" i="6"/>
  <c r="H445" i="6"/>
  <c r="G445" i="6"/>
  <c r="F445" i="6"/>
  <c r="C445" i="6"/>
  <c r="H444" i="6"/>
  <c r="G444" i="6"/>
  <c r="F444" i="6"/>
  <c r="C444" i="6"/>
  <c r="H443" i="6"/>
  <c r="G443" i="6"/>
  <c r="F443" i="6"/>
  <c r="C443" i="6"/>
  <c r="H442" i="6"/>
  <c r="G442" i="6"/>
  <c r="F442" i="6"/>
  <c r="C442" i="6"/>
  <c r="H441" i="6"/>
  <c r="G441" i="6"/>
  <c r="F441" i="6"/>
  <c r="C441" i="6"/>
  <c r="H440" i="6"/>
  <c r="G440" i="6"/>
  <c r="F440" i="6"/>
  <c r="C440" i="6"/>
  <c r="H439" i="6"/>
  <c r="G439" i="6"/>
  <c r="F439" i="6"/>
  <c r="C439" i="6"/>
  <c r="H438" i="6"/>
  <c r="G438" i="6"/>
  <c r="F438" i="6"/>
  <c r="C438" i="6"/>
  <c r="H437" i="6"/>
  <c r="G437" i="6"/>
  <c r="F437" i="6"/>
  <c r="C437" i="6"/>
  <c r="H436" i="6"/>
  <c r="G436" i="6"/>
  <c r="F436" i="6"/>
  <c r="C436" i="6"/>
  <c r="H435" i="6"/>
  <c r="G435" i="6"/>
  <c r="F435" i="6"/>
  <c r="C435" i="6"/>
  <c r="H434" i="6"/>
  <c r="G434" i="6"/>
  <c r="F434" i="6"/>
  <c r="C434" i="6"/>
  <c r="H433" i="6"/>
  <c r="G433" i="6"/>
  <c r="F433" i="6"/>
  <c r="C433" i="6"/>
  <c r="H432" i="6"/>
  <c r="G432" i="6"/>
  <c r="F432" i="6"/>
  <c r="C432" i="6"/>
  <c r="H431" i="6"/>
  <c r="G431" i="6"/>
  <c r="F431" i="6"/>
  <c r="C431" i="6"/>
  <c r="H430" i="6"/>
  <c r="G430" i="6"/>
  <c r="F430" i="6"/>
  <c r="C430" i="6"/>
  <c r="H429" i="6"/>
  <c r="G429" i="6"/>
  <c r="F429" i="6"/>
  <c r="C429" i="6"/>
  <c r="H428" i="6"/>
  <c r="G428" i="6"/>
  <c r="F428" i="6"/>
  <c r="C428" i="6"/>
  <c r="H427" i="6"/>
  <c r="G427" i="6"/>
  <c r="F427" i="6"/>
  <c r="C427" i="6"/>
  <c r="H426" i="6"/>
  <c r="G426" i="6"/>
  <c r="F426" i="6"/>
  <c r="C426" i="6"/>
  <c r="H425" i="6"/>
  <c r="G425" i="6"/>
  <c r="F425" i="6"/>
  <c r="C425" i="6"/>
  <c r="H424" i="6"/>
  <c r="G424" i="6"/>
  <c r="F424" i="6"/>
  <c r="C424" i="6"/>
  <c r="H423" i="6"/>
  <c r="G423" i="6"/>
  <c r="F423" i="6"/>
  <c r="C423" i="6"/>
  <c r="H422" i="6"/>
  <c r="G422" i="6"/>
  <c r="F422" i="6"/>
  <c r="C422" i="6"/>
  <c r="H421" i="6"/>
  <c r="G421" i="6"/>
  <c r="F421" i="6"/>
  <c r="C421" i="6"/>
  <c r="H420" i="6"/>
  <c r="G420" i="6"/>
  <c r="F420" i="6"/>
  <c r="C420" i="6"/>
  <c r="H419" i="6"/>
  <c r="G419" i="6"/>
  <c r="F419" i="6"/>
  <c r="C419" i="6"/>
  <c r="H418" i="6"/>
  <c r="G418" i="6"/>
  <c r="F418" i="6"/>
  <c r="C418" i="6"/>
  <c r="H417" i="6"/>
  <c r="G417" i="6"/>
  <c r="F417" i="6"/>
  <c r="C417" i="6"/>
  <c r="H416" i="6"/>
  <c r="G416" i="6"/>
  <c r="F416" i="6"/>
  <c r="C416" i="6"/>
  <c r="H415" i="6"/>
  <c r="G415" i="6"/>
  <c r="F415" i="6"/>
  <c r="C415" i="6"/>
  <c r="H414" i="6"/>
  <c r="G414" i="6"/>
  <c r="F414" i="6"/>
  <c r="C414" i="6"/>
  <c r="H413" i="6"/>
  <c r="G413" i="6"/>
  <c r="F413" i="6"/>
  <c r="C413" i="6"/>
  <c r="H412" i="6"/>
  <c r="G412" i="6"/>
  <c r="F412" i="6"/>
  <c r="C412" i="6"/>
  <c r="H411" i="6"/>
  <c r="G411" i="6"/>
  <c r="F411" i="6"/>
  <c r="C411" i="6"/>
  <c r="H410" i="6"/>
  <c r="G410" i="6"/>
  <c r="F410" i="6"/>
  <c r="C410" i="6"/>
  <c r="H409" i="6"/>
  <c r="G409" i="6"/>
  <c r="F409" i="6"/>
  <c r="C409" i="6"/>
  <c r="H408" i="6"/>
  <c r="G408" i="6"/>
  <c r="F408" i="6"/>
  <c r="C408" i="6"/>
  <c r="H407" i="6"/>
  <c r="G407" i="6"/>
  <c r="F407" i="6"/>
  <c r="C407" i="6"/>
  <c r="H406" i="6"/>
  <c r="G406" i="6"/>
  <c r="F406" i="6"/>
  <c r="C406" i="6"/>
  <c r="H405" i="6"/>
  <c r="G405" i="6"/>
  <c r="F405" i="6"/>
  <c r="C405" i="6"/>
  <c r="H404" i="6"/>
  <c r="G404" i="6"/>
  <c r="F404" i="6"/>
  <c r="C404" i="6"/>
  <c r="H403" i="6"/>
  <c r="G403" i="6"/>
  <c r="F403" i="6"/>
  <c r="C403" i="6"/>
  <c r="H402" i="6"/>
  <c r="G402" i="6"/>
  <c r="F402" i="6"/>
  <c r="C402" i="6"/>
  <c r="H401" i="6"/>
  <c r="G401" i="6"/>
  <c r="F401" i="6"/>
  <c r="C401" i="6"/>
  <c r="H400" i="6"/>
  <c r="G400" i="6"/>
  <c r="F400" i="6"/>
  <c r="C400" i="6"/>
  <c r="H399" i="6"/>
  <c r="G399" i="6"/>
  <c r="F399" i="6"/>
  <c r="C399" i="6"/>
  <c r="H398" i="6"/>
  <c r="G398" i="6"/>
  <c r="F398" i="6"/>
  <c r="C398" i="6"/>
  <c r="H397" i="6"/>
  <c r="G397" i="6"/>
  <c r="F397" i="6"/>
  <c r="C397" i="6"/>
  <c r="H396" i="6"/>
  <c r="G396" i="6"/>
  <c r="F396" i="6"/>
  <c r="C396" i="6"/>
  <c r="H395" i="6"/>
  <c r="G395" i="6"/>
  <c r="F395" i="6"/>
  <c r="C395" i="6"/>
  <c r="H394" i="6"/>
  <c r="G394" i="6"/>
  <c r="F394" i="6"/>
  <c r="C394" i="6"/>
  <c r="H393" i="6"/>
  <c r="G393" i="6"/>
  <c r="F393" i="6"/>
  <c r="C393" i="6"/>
  <c r="H392" i="6"/>
  <c r="G392" i="6"/>
  <c r="F392" i="6"/>
  <c r="C392" i="6"/>
  <c r="H391" i="6"/>
  <c r="G391" i="6"/>
  <c r="F391" i="6"/>
  <c r="C391" i="6"/>
  <c r="H390" i="6"/>
  <c r="G390" i="6"/>
  <c r="F390" i="6"/>
  <c r="C390" i="6"/>
  <c r="H389" i="6"/>
  <c r="G389" i="6"/>
  <c r="F389" i="6"/>
  <c r="C389" i="6"/>
  <c r="H388" i="6"/>
  <c r="G388" i="6"/>
  <c r="F388" i="6"/>
  <c r="C388" i="6"/>
  <c r="H387" i="6"/>
  <c r="G387" i="6"/>
  <c r="F387" i="6"/>
  <c r="C387" i="6"/>
  <c r="H386" i="6"/>
  <c r="G386" i="6"/>
  <c r="F386" i="6"/>
  <c r="C386" i="6"/>
  <c r="H385" i="6"/>
  <c r="G385" i="6"/>
  <c r="F385" i="6"/>
  <c r="C385" i="6"/>
  <c r="H384" i="6"/>
  <c r="G384" i="6"/>
  <c r="F384" i="6"/>
  <c r="C384" i="6"/>
  <c r="H383" i="6"/>
  <c r="G383" i="6"/>
  <c r="F383" i="6"/>
  <c r="C383" i="6"/>
  <c r="H382" i="6"/>
  <c r="G382" i="6"/>
  <c r="F382" i="6"/>
  <c r="C382" i="6"/>
  <c r="H381" i="6"/>
  <c r="G381" i="6"/>
  <c r="F381" i="6"/>
  <c r="C381" i="6"/>
  <c r="H380" i="6"/>
  <c r="G380" i="6"/>
  <c r="F380" i="6"/>
  <c r="C380" i="6"/>
  <c r="H379" i="6"/>
  <c r="G379" i="6"/>
  <c r="F379" i="6"/>
  <c r="C379" i="6"/>
  <c r="H378" i="6"/>
  <c r="G378" i="6"/>
  <c r="F378" i="6"/>
  <c r="C378" i="6"/>
  <c r="H377" i="6"/>
  <c r="G377" i="6"/>
  <c r="F377" i="6"/>
  <c r="C377" i="6"/>
  <c r="H376" i="6"/>
  <c r="G376" i="6"/>
  <c r="F376" i="6"/>
  <c r="C376" i="6"/>
  <c r="H375" i="6"/>
  <c r="G375" i="6"/>
  <c r="F375" i="6"/>
  <c r="C375" i="6"/>
  <c r="H374" i="6"/>
  <c r="G374" i="6"/>
  <c r="F374" i="6"/>
  <c r="C374" i="6"/>
  <c r="H373" i="6"/>
  <c r="G373" i="6"/>
  <c r="F373" i="6"/>
  <c r="C373" i="6"/>
  <c r="H372" i="6"/>
  <c r="G372" i="6"/>
  <c r="F372" i="6"/>
  <c r="C372" i="6"/>
  <c r="H371" i="6"/>
  <c r="G371" i="6"/>
  <c r="F371" i="6"/>
  <c r="C371" i="6"/>
  <c r="H370" i="6"/>
  <c r="G370" i="6"/>
  <c r="F370" i="6"/>
  <c r="C370" i="6"/>
  <c r="H369" i="6"/>
  <c r="G369" i="6"/>
  <c r="F369" i="6"/>
  <c r="C369" i="6"/>
  <c r="H368" i="6"/>
  <c r="G368" i="6"/>
  <c r="F368" i="6"/>
  <c r="C368" i="6"/>
  <c r="H367" i="6"/>
  <c r="G367" i="6"/>
  <c r="F367" i="6"/>
  <c r="C367" i="6"/>
  <c r="H366" i="6"/>
  <c r="G366" i="6"/>
  <c r="F366" i="6"/>
  <c r="C366" i="6"/>
  <c r="H365" i="6"/>
  <c r="G365" i="6"/>
  <c r="F365" i="6"/>
  <c r="C365" i="6"/>
  <c r="H364" i="6"/>
  <c r="G364" i="6"/>
  <c r="F364" i="6"/>
  <c r="C364" i="6"/>
  <c r="H363" i="6"/>
  <c r="G363" i="6"/>
  <c r="F363" i="6"/>
  <c r="C363" i="6"/>
  <c r="H362" i="6"/>
  <c r="G362" i="6"/>
  <c r="F362" i="6"/>
  <c r="C362" i="6"/>
  <c r="H361" i="6"/>
  <c r="G361" i="6"/>
  <c r="F361" i="6"/>
  <c r="C361" i="6"/>
  <c r="H360" i="6"/>
  <c r="G360" i="6"/>
  <c r="F360" i="6"/>
  <c r="C360" i="6"/>
  <c r="H359" i="6"/>
  <c r="G359" i="6"/>
  <c r="F359" i="6"/>
  <c r="C359" i="6"/>
  <c r="H358" i="6"/>
  <c r="G358" i="6"/>
  <c r="F358" i="6"/>
  <c r="C358" i="6"/>
  <c r="H357" i="6"/>
  <c r="G357" i="6"/>
  <c r="F357" i="6"/>
  <c r="C357" i="6"/>
  <c r="H356" i="6"/>
  <c r="G356" i="6"/>
  <c r="F356" i="6"/>
  <c r="C356" i="6"/>
  <c r="H355" i="6"/>
  <c r="G355" i="6"/>
  <c r="F355" i="6"/>
  <c r="C355" i="6"/>
  <c r="H354" i="6"/>
  <c r="G354" i="6"/>
  <c r="F354" i="6"/>
  <c r="C354" i="6"/>
  <c r="H353" i="6"/>
  <c r="G353" i="6"/>
  <c r="F353" i="6"/>
  <c r="C353" i="6"/>
  <c r="H352" i="6"/>
  <c r="G352" i="6"/>
  <c r="F352" i="6"/>
  <c r="C352" i="6"/>
  <c r="H351" i="6"/>
  <c r="G351" i="6"/>
  <c r="F351" i="6"/>
  <c r="C351" i="6"/>
  <c r="H350" i="6"/>
  <c r="G350" i="6"/>
  <c r="F350" i="6"/>
  <c r="C350" i="6"/>
  <c r="H349" i="6"/>
  <c r="G349" i="6"/>
  <c r="F349" i="6"/>
  <c r="C349" i="6"/>
  <c r="H348" i="6"/>
  <c r="G348" i="6"/>
  <c r="F348" i="6"/>
  <c r="C348" i="6"/>
  <c r="H347" i="6"/>
  <c r="G347" i="6"/>
  <c r="F347" i="6"/>
  <c r="C347" i="6"/>
  <c r="H346" i="6"/>
  <c r="G346" i="6"/>
  <c r="F346" i="6"/>
  <c r="C346" i="6"/>
  <c r="H345" i="6"/>
  <c r="G345" i="6"/>
  <c r="F345" i="6"/>
  <c r="C345" i="6"/>
  <c r="H344" i="6"/>
  <c r="G344" i="6"/>
  <c r="F344" i="6"/>
  <c r="C344" i="6"/>
  <c r="H343" i="6"/>
  <c r="G343" i="6"/>
  <c r="F343" i="6"/>
  <c r="C343" i="6"/>
  <c r="H342" i="6"/>
  <c r="G342" i="6"/>
  <c r="F342" i="6"/>
  <c r="C342" i="6"/>
  <c r="H341" i="6"/>
  <c r="G341" i="6"/>
  <c r="F341" i="6"/>
  <c r="C341" i="6"/>
  <c r="H340" i="6"/>
  <c r="G340" i="6"/>
  <c r="F340" i="6"/>
  <c r="C340" i="6"/>
  <c r="H339" i="6"/>
  <c r="G339" i="6"/>
  <c r="F339" i="6"/>
  <c r="C339" i="6"/>
  <c r="H338" i="6"/>
  <c r="G338" i="6"/>
  <c r="F338" i="6"/>
  <c r="C338" i="6"/>
  <c r="H337" i="6"/>
  <c r="G337" i="6"/>
  <c r="F337" i="6"/>
  <c r="C337" i="6"/>
  <c r="H336" i="6"/>
  <c r="G336" i="6"/>
  <c r="F336" i="6"/>
  <c r="C336" i="6"/>
  <c r="H335" i="6"/>
  <c r="G335" i="6"/>
  <c r="F335" i="6"/>
  <c r="C335" i="6"/>
  <c r="H334" i="6"/>
  <c r="G334" i="6"/>
  <c r="F334" i="6"/>
  <c r="C334" i="6"/>
  <c r="H333" i="6"/>
  <c r="G333" i="6"/>
  <c r="F333" i="6"/>
  <c r="C333" i="6"/>
  <c r="H332" i="6"/>
  <c r="G332" i="6"/>
  <c r="F332" i="6"/>
  <c r="C332" i="6"/>
  <c r="H331" i="6"/>
  <c r="G331" i="6"/>
  <c r="F331" i="6"/>
  <c r="C331" i="6"/>
  <c r="H330" i="6"/>
  <c r="G330" i="6"/>
  <c r="F330" i="6"/>
  <c r="C330" i="6"/>
  <c r="H329" i="6"/>
  <c r="G329" i="6"/>
  <c r="F329" i="6"/>
  <c r="C329" i="6"/>
  <c r="H328" i="6"/>
  <c r="G328" i="6"/>
  <c r="F328" i="6"/>
  <c r="C328" i="6"/>
  <c r="H327" i="6"/>
  <c r="G327" i="6"/>
  <c r="F327" i="6"/>
  <c r="C327" i="6"/>
  <c r="H326" i="6"/>
  <c r="G326" i="6"/>
  <c r="F326" i="6"/>
  <c r="C326" i="6"/>
  <c r="H325" i="6"/>
  <c r="G325" i="6"/>
  <c r="F325" i="6"/>
  <c r="C325" i="6"/>
  <c r="H324" i="6"/>
  <c r="G324" i="6"/>
  <c r="F324" i="6"/>
  <c r="C324" i="6"/>
  <c r="H323" i="6"/>
  <c r="G323" i="6"/>
  <c r="F323" i="6"/>
  <c r="C323" i="6"/>
  <c r="H322" i="6"/>
  <c r="G322" i="6"/>
  <c r="F322" i="6"/>
  <c r="C322" i="6"/>
  <c r="H321" i="6"/>
  <c r="G321" i="6"/>
  <c r="F321" i="6"/>
  <c r="C321" i="6"/>
  <c r="H320" i="6"/>
  <c r="G320" i="6"/>
  <c r="F320" i="6"/>
  <c r="C320" i="6"/>
  <c r="H319" i="6"/>
  <c r="G319" i="6"/>
  <c r="F319" i="6"/>
  <c r="C319" i="6"/>
  <c r="H318" i="6"/>
  <c r="G318" i="6"/>
  <c r="F318" i="6"/>
  <c r="C318" i="6"/>
  <c r="H317" i="6"/>
  <c r="G317" i="6"/>
  <c r="F317" i="6"/>
  <c r="C317" i="6"/>
  <c r="H316" i="6"/>
  <c r="G316" i="6"/>
  <c r="F316" i="6"/>
  <c r="C316" i="6"/>
  <c r="H315" i="6"/>
  <c r="G315" i="6"/>
  <c r="F315" i="6"/>
  <c r="C315" i="6"/>
  <c r="H314" i="6"/>
  <c r="G314" i="6"/>
  <c r="F314" i="6"/>
  <c r="C314" i="6"/>
  <c r="H313" i="6"/>
  <c r="G313" i="6"/>
  <c r="F313" i="6"/>
  <c r="C313" i="6"/>
  <c r="H312" i="6"/>
  <c r="G312" i="6"/>
  <c r="F312" i="6"/>
  <c r="C312" i="6"/>
  <c r="H311" i="6"/>
  <c r="G311" i="6"/>
  <c r="F311" i="6"/>
  <c r="C311" i="6"/>
  <c r="H310" i="6"/>
  <c r="G310" i="6"/>
  <c r="F310" i="6"/>
  <c r="C310" i="6"/>
  <c r="H309" i="6"/>
  <c r="G309" i="6"/>
  <c r="F309" i="6"/>
  <c r="C309" i="6"/>
  <c r="H308" i="6"/>
  <c r="G308" i="6"/>
  <c r="F308" i="6"/>
  <c r="C308" i="6"/>
  <c r="H307" i="6"/>
  <c r="G307" i="6"/>
  <c r="F307" i="6"/>
  <c r="C307" i="6"/>
  <c r="H306" i="6"/>
  <c r="G306" i="6"/>
  <c r="F306" i="6"/>
  <c r="C306" i="6"/>
  <c r="H305" i="6"/>
  <c r="G305" i="6"/>
  <c r="F305" i="6"/>
  <c r="C305" i="6"/>
  <c r="H304" i="6"/>
  <c r="G304" i="6"/>
  <c r="F304" i="6"/>
  <c r="C304" i="6"/>
  <c r="H303" i="6"/>
  <c r="G303" i="6"/>
  <c r="F303" i="6"/>
  <c r="C303" i="6"/>
  <c r="H302" i="6"/>
  <c r="G302" i="6"/>
  <c r="F302" i="6"/>
  <c r="C302" i="6"/>
  <c r="H301" i="6"/>
  <c r="G301" i="6"/>
  <c r="F301" i="6"/>
  <c r="C301" i="6"/>
  <c r="H300" i="6"/>
  <c r="G300" i="6"/>
  <c r="F300" i="6"/>
  <c r="C300" i="6"/>
  <c r="H299" i="6"/>
  <c r="G299" i="6"/>
  <c r="F299" i="6"/>
  <c r="C299" i="6"/>
  <c r="H298" i="6"/>
  <c r="G298" i="6"/>
  <c r="F298" i="6"/>
  <c r="C298" i="6"/>
  <c r="H297" i="6"/>
  <c r="G297" i="6"/>
  <c r="F297" i="6"/>
  <c r="C297" i="6"/>
  <c r="H296" i="6"/>
  <c r="G296" i="6"/>
  <c r="F296" i="6"/>
  <c r="C296" i="6"/>
  <c r="H295" i="6"/>
  <c r="G295" i="6"/>
  <c r="F295" i="6"/>
  <c r="C295" i="6"/>
  <c r="H294" i="6"/>
  <c r="G294" i="6"/>
  <c r="F294" i="6"/>
  <c r="C294" i="6"/>
  <c r="H293" i="6"/>
  <c r="G293" i="6"/>
  <c r="F293" i="6"/>
  <c r="C293" i="6"/>
  <c r="H292" i="6"/>
  <c r="G292" i="6"/>
  <c r="F292" i="6"/>
  <c r="C292" i="6"/>
  <c r="H291" i="6"/>
  <c r="G291" i="6"/>
  <c r="F291" i="6"/>
  <c r="C291" i="6"/>
  <c r="H290" i="6"/>
  <c r="G290" i="6"/>
  <c r="F290" i="6"/>
  <c r="C290" i="6"/>
  <c r="H289" i="6"/>
  <c r="G289" i="6"/>
  <c r="F289" i="6"/>
  <c r="C289" i="6"/>
  <c r="H288" i="6"/>
  <c r="G288" i="6"/>
  <c r="F288" i="6"/>
  <c r="C288" i="6"/>
  <c r="H287" i="6"/>
  <c r="G287" i="6"/>
  <c r="F287" i="6"/>
  <c r="C287" i="6"/>
  <c r="H286" i="6"/>
  <c r="G286" i="6"/>
  <c r="F286" i="6"/>
  <c r="C286" i="6"/>
  <c r="H285" i="6"/>
  <c r="G285" i="6"/>
  <c r="F285" i="6"/>
  <c r="C285" i="6"/>
  <c r="H284" i="6"/>
  <c r="G284" i="6"/>
  <c r="F284" i="6"/>
  <c r="C284" i="6"/>
  <c r="H283" i="6"/>
  <c r="G283" i="6"/>
  <c r="F283" i="6"/>
  <c r="C283" i="6"/>
  <c r="H282" i="6"/>
  <c r="G282" i="6"/>
  <c r="F282" i="6"/>
  <c r="C282" i="6"/>
  <c r="H281" i="6"/>
  <c r="G281" i="6"/>
  <c r="F281" i="6"/>
  <c r="C281" i="6"/>
  <c r="H280" i="6"/>
  <c r="G280" i="6"/>
  <c r="F280" i="6"/>
  <c r="C280" i="6"/>
  <c r="H279" i="6"/>
  <c r="G279" i="6"/>
  <c r="F279" i="6"/>
  <c r="C279" i="6"/>
  <c r="H278" i="6"/>
  <c r="G278" i="6"/>
  <c r="F278" i="6"/>
  <c r="C278" i="6"/>
  <c r="H277" i="6"/>
  <c r="G277" i="6"/>
  <c r="F277" i="6"/>
  <c r="C277" i="6"/>
  <c r="H276" i="6"/>
  <c r="G276" i="6"/>
  <c r="F276" i="6"/>
  <c r="C276" i="6"/>
  <c r="H275" i="6"/>
  <c r="G275" i="6"/>
  <c r="F275" i="6"/>
  <c r="C275" i="6"/>
  <c r="H274" i="6"/>
  <c r="G274" i="6"/>
  <c r="F274" i="6"/>
  <c r="C274" i="6"/>
  <c r="H273" i="6"/>
  <c r="G273" i="6"/>
  <c r="F273" i="6"/>
  <c r="C273" i="6"/>
  <c r="H272" i="6"/>
  <c r="G272" i="6"/>
  <c r="F272" i="6"/>
  <c r="C272" i="6"/>
  <c r="H271" i="6"/>
  <c r="G271" i="6"/>
  <c r="F271" i="6"/>
  <c r="C271" i="6"/>
  <c r="H270" i="6"/>
  <c r="G270" i="6"/>
  <c r="F270" i="6"/>
  <c r="C270" i="6"/>
  <c r="H269" i="6"/>
  <c r="G269" i="6"/>
  <c r="F269" i="6"/>
  <c r="C269" i="6"/>
  <c r="H268" i="6"/>
  <c r="G268" i="6"/>
  <c r="F268" i="6"/>
  <c r="C268" i="6"/>
  <c r="H267" i="6"/>
  <c r="G267" i="6"/>
  <c r="F267" i="6"/>
  <c r="C267" i="6"/>
  <c r="H266" i="6"/>
  <c r="G266" i="6"/>
  <c r="F266" i="6"/>
  <c r="C266" i="6"/>
  <c r="H265" i="6"/>
  <c r="G265" i="6"/>
  <c r="F265" i="6"/>
  <c r="C265" i="6"/>
  <c r="H264" i="6"/>
  <c r="G264" i="6"/>
  <c r="F264" i="6"/>
  <c r="C264" i="6"/>
  <c r="H263" i="6"/>
  <c r="G263" i="6"/>
  <c r="F263" i="6"/>
  <c r="C263" i="6"/>
  <c r="H262" i="6"/>
  <c r="G262" i="6"/>
  <c r="F262" i="6"/>
  <c r="C262" i="6"/>
  <c r="H261" i="6"/>
  <c r="G261" i="6"/>
  <c r="F261" i="6"/>
  <c r="C261" i="6"/>
  <c r="H260" i="6"/>
  <c r="G260" i="6"/>
  <c r="F260" i="6"/>
  <c r="C260" i="6"/>
  <c r="H259" i="6"/>
  <c r="G259" i="6"/>
  <c r="F259" i="6"/>
  <c r="C259" i="6"/>
  <c r="H258" i="6"/>
  <c r="G258" i="6"/>
  <c r="F258" i="6"/>
  <c r="C258" i="6"/>
  <c r="H257" i="6"/>
  <c r="G257" i="6"/>
  <c r="F257" i="6"/>
  <c r="C257" i="6"/>
  <c r="H256" i="6"/>
  <c r="G256" i="6"/>
  <c r="F256" i="6"/>
  <c r="C256" i="6"/>
  <c r="H255" i="6"/>
  <c r="G255" i="6"/>
  <c r="F255" i="6"/>
  <c r="C255" i="6"/>
  <c r="H254" i="6"/>
  <c r="G254" i="6"/>
  <c r="F254" i="6"/>
  <c r="C254" i="6"/>
  <c r="H253" i="6"/>
  <c r="G253" i="6"/>
  <c r="F253" i="6"/>
  <c r="C253" i="6"/>
  <c r="H252" i="6"/>
  <c r="G252" i="6"/>
  <c r="F252" i="6"/>
  <c r="C252" i="6"/>
  <c r="H251" i="6"/>
  <c r="G251" i="6"/>
  <c r="F251" i="6"/>
  <c r="C251" i="6"/>
  <c r="H250" i="6"/>
  <c r="G250" i="6"/>
  <c r="F250" i="6"/>
  <c r="C250" i="6"/>
  <c r="H249" i="6"/>
  <c r="G249" i="6"/>
  <c r="F249" i="6"/>
  <c r="C249" i="6"/>
  <c r="H248" i="6"/>
  <c r="G248" i="6"/>
  <c r="F248" i="6"/>
  <c r="C248" i="6"/>
  <c r="H247" i="6"/>
  <c r="G247" i="6"/>
  <c r="F247" i="6"/>
  <c r="C247" i="6"/>
  <c r="H246" i="6"/>
  <c r="G246" i="6"/>
  <c r="F246" i="6"/>
  <c r="C246" i="6"/>
  <c r="H245" i="6"/>
  <c r="G245" i="6"/>
  <c r="F245" i="6"/>
  <c r="C245" i="6"/>
  <c r="H244" i="6"/>
  <c r="G244" i="6"/>
  <c r="F244" i="6"/>
  <c r="C244" i="6"/>
  <c r="H243" i="6"/>
  <c r="G243" i="6"/>
  <c r="F243" i="6"/>
  <c r="C243" i="6"/>
  <c r="H242" i="6"/>
  <c r="G242" i="6"/>
  <c r="F242" i="6"/>
  <c r="C242" i="6"/>
  <c r="H241" i="6"/>
  <c r="G241" i="6"/>
  <c r="F241" i="6"/>
  <c r="C241" i="6"/>
  <c r="H240" i="6"/>
  <c r="G240" i="6"/>
  <c r="F240" i="6"/>
  <c r="C240" i="6"/>
  <c r="H239" i="6"/>
  <c r="G239" i="6"/>
  <c r="F239" i="6"/>
  <c r="C239" i="6"/>
  <c r="H238" i="6"/>
  <c r="G238" i="6"/>
  <c r="F238" i="6"/>
  <c r="C238" i="6"/>
  <c r="H237" i="6"/>
  <c r="G237" i="6"/>
  <c r="F237" i="6"/>
  <c r="C237" i="6"/>
  <c r="H236" i="6"/>
  <c r="G236" i="6"/>
  <c r="F236" i="6"/>
  <c r="C236" i="6"/>
  <c r="H235" i="6"/>
  <c r="G235" i="6"/>
  <c r="F235" i="6"/>
  <c r="C235" i="6"/>
  <c r="H234" i="6"/>
  <c r="G234" i="6"/>
  <c r="F234" i="6"/>
  <c r="C234" i="6"/>
  <c r="H233" i="6"/>
  <c r="G233" i="6"/>
  <c r="F233" i="6"/>
  <c r="C233" i="6"/>
  <c r="H232" i="6"/>
  <c r="G232" i="6"/>
  <c r="F232" i="6"/>
  <c r="C232" i="6"/>
  <c r="H231" i="6"/>
  <c r="G231" i="6"/>
  <c r="F231" i="6"/>
  <c r="C231" i="6"/>
  <c r="H230" i="6"/>
  <c r="G230" i="6"/>
  <c r="F230" i="6"/>
  <c r="C230" i="6"/>
  <c r="H229" i="6"/>
  <c r="G229" i="6"/>
  <c r="F229" i="6"/>
  <c r="C229" i="6"/>
  <c r="H228" i="6"/>
  <c r="G228" i="6"/>
  <c r="F228" i="6"/>
  <c r="C228" i="6"/>
  <c r="H227" i="6"/>
  <c r="G227" i="6"/>
  <c r="F227" i="6"/>
  <c r="C227" i="6"/>
  <c r="H226" i="6"/>
  <c r="G226" i="6"/>
  <c r="F226" i="6"/>
  <c r="C226" i="6"/>
  <c r="H225" i="6"/>
  <c r="G225" i="6"/>
  <c r="F225" i="6"/>
  <c r="C225" i="6"/>
  <c r="H224" i="6"/>
  <c r="G224" i="6"/>
  <c r="F224" i="6"/>
  <c r="C224" i="6"/>
  <c r="H223" i="6"/>
  <c r="G223" i="6"/>
  <c r="F223" i="6"/>
  <c r="C223" i="6"/>
  <c r="H222" i="6"/>
  <c r="G222" i="6"/>
  <c r="F222" i="6"/>
  <c r="C222" i="6"/>
  <c r="H221" i="6"/>
  <c r="G221" i="6"/>
  <c r="F221" i="6"/>
  <c r="C221" i="6"/>
  <c r="H220" i="6"/>
  <c r="G220" i="6"/>
  <c r="F220" i="6"/>
  <c r="C220" i="6"/>
  <c r="H219" i="6"/>
  <c r="G219" i="6"/>
  <c r="F219" i="6"/>
  <c r="C219" i="6"/>
  <c r="H218" i="6"/>
  <c r="G218" i="6"/>
  <c r="F218" i="6"/>
  <c r="C218" i="6"/>
  <c r="H217" i="6"/>
  <c r="G217" i="6"/>
  <c r="F217" i="6"/>
  <c r="C217" i="6"/>
  <c r="H216" i="6"/>
  <c r="G216" i="6"/>
  <c r="F216" i="6"/>
  <c r="C216" i="6"/>
  <c r="H215" i="6"/>
  <c r="G215" i="6"/>
  <c r="F215" i="6"/>
  <c r="C215" i="6"/>
  <c r="H214" i="6"/>
  <c r="G214" i="6"/>
  <c r="F214" i="6"/>
  <c r="C214" i="6"/>
  <c r="H213" i="6"/>
  <c r="G213" i="6"/>
  <c r="F213" i="6"/>
  <c r="C213" i="6"/>
  <c r="H212" i="6"/>
  <c r="G212" i="6"/>
  <c r="F212" i="6"/>
  <c r="C212" i="6"/>
  <c r="H211" i="6"/>
  <c r="G211" i="6"/>
  <c r="F211" i="6"/>
  <c r="C211" i="6"/>
  <c r="H210" i="6"/>
  <c r="G210" i="6"/>
  <c r="F210" i="6"/>
  <c r="C210" i="6"/>
  <c r="H209" i="6"/>
  <c r="G209" i="6"/>
  <c r="F209" i="6"/>
  <c r="C209" i="6"/>
  <c r="H208" i="6"/>
  <c r="G208" i="6"/>
  <c r="F208" i="6"/>
  <c r="C208" i="6"/>
  <c r="H207" i="6"/>
  <c r="G207" i="6"/>
  <c r="F207" i="6"/>
  <c r="C207" i="6"/>
  <c r="H206" i="6"/>
  <c r="G206" i="6"/>
  <c r="F206" i="6"/>
  <c r="C206" i="6"/>
  <c r="H205" i="6"/>
  <c r="G205" i="6"/>
  <c r="F205" i="6"/>
  <c r="C205" i="6"/>
  <c r="H204" i="6"/>
  <c r="G204" i="6"/>
  <c r="F204" i="6"/>
  <c r="C204" i="6"/>
  <c r="H203" i="6"/>
  <c r="G203" i="6"/>
  <c r="F203" i="6"/>
  <c r="C203" i="6"/>
  <c r="H202" i="6"/>
  <c r="G202" i="6"/>
  <c r="F202" i="6"/>
  <c r="C202" i="6"/>
  <c r="H201" i="6"/>
  <c r="G201" i="6"/>
  <c r="F201" i="6"/>
  <c r="C201" i="6"/>
  <c r="H200" i="6"/>
  <c r="G200" i="6"/>
  <c r="F200" i="6"/>
  <c r="C200" i="6"/>
  <c r="H199" i="6"/>
  <c r="G199" i="6"/>
  <c r="F199" i="6"/>
  <c r="C199" i="6"/>
  <c r="H198" i="6"/>
  <c r="G198" i="6"/>
  <c r="F198" i="6"/>
  <c r="C198" i="6"/>
  <c r="H197" i="6"/>
  <c r="G197" i="6"/>
  <c r="F197" i="6"/>
  <c r="C197" i="6"/>
  <c r="H196" i="6"/>
  <c r="G196" i="6"/>
  <c r="F196" i="6"/>
  <c r="C196" i="6"/>
  <c r="H195" i="6"/>
  <c r="G195" i="6"/>
  <c r="F195" i="6"/>
  <c r="C195" i="6"/>
  <c r="H194" i="6"/>
  <c r="G194" i="6"/>
  <c r="F194" i="6"/>
  <c r="C194" i="6"/>
  <c r="H193" i="6"/>
  <c r="G193" i="6"/>
  <c r="F193" i="6"/>
  <c r="C193" i="6"/>
  <c r="H192" i="6"/>
  <c r="G192" i="6"/>
  <c r="F192" i="6"/>
  <c r="C192" i="6"/>
  <c r="H191" i="6"/>
  <c r="G191" i="6"/>
  <c r="F191" i="6"/>
  <c r="C191" i="6"/>
  <c r="H190" i="6"/>
  <c r="G190" i="6"/>
  <c r="F190" i="6"/>
  <c r="C190" i="6"/>
  <c r="H189" i="6"/>
  <c r="G189" i="6"/>
  <c r="F189" i="6"/>
  <c r="C189" i="6"/>
  <c r="H188" i="6"/>
  <c r="G188" i="6"/>
  <c r="F188" i="6"/>
  <c r="C188" i="6"/>
  <c r="H187" i="6"/>
  <c r="G187" i="6"/>
  <c r="F187" i="6"/>
  <c r="C187" i="6"/>
  <c r="H186" i="6"/>
  <c r="G186" i="6"/>
  <c r="F186" i="6"/>
  <c r="C186" i="6"/>
  <c r="H185" i="6"/>
  <c r="G185" i="6"/>
  <c r="F185" i="6"/>
  <c r="C185" i="6"/>
  <c r="H184" i="6"/>
  <c r="G184" i="6"/>
  <c r="F184" i="6"/>
  <c r="C184" i="6"/>
  <c r="H183" i="6"/>
  <c r="G183" i="6"/>
  <c r="F183" i="6"/>
  <c r="C183" i="6"/>
  <c r="H182" i="6"/>
  <c r="G182" i="6"/>
  <c r="F182" i="6"/>
  <c r="C182" i="6"/>
  <c r="H181" i="6"/>
  <c r="G181" i="6"/>
  <c r="F181" i="6"/>
  <c r="C181" i="6"/>
  <c r="H180" i="6"/>
  <c r="G180" i="6"/>
  <c r="F180" i="6"/>
  <c r="C180" i="6"/>
  <c r="H179" i="6"/>
  <c r="G179" i="6"/>
  <c r="F179" i="6"/>
  <c r="C179" i="6"/>
  <c r="H178" i="6"/>
  <c r="G178" i="6"/>
  <c r="F178" i="6"/>
  <c r="C178" i="6"/>
  <c r="H177" i="6"/>
  <c r="G177" i="6"/>
  <c r="F177" i="6"/>
  <c r="C177" i="6"/>
  <c r="H176" i="6"/>
  <c r="G176" i="6"/>
  <c r="F176" i="6"/>
  <c r="C176" i="6"/>
  <c r="H175" i="6"/>
  <c r="G175" i="6"/>
  <c r="F175" i="6"/>
  <c r="C175" i="6"/>
  <c r="H174" i="6"/>
  <c r="G174" i="6"/>
  <c r="F174" i="6"/>
  <c r="C174" i="6"/>
  <c r="H173" i="6"/>
  <c r="G173" i="6"/>
  <c r="F173" i="6"/>
  <c r="C173" i="6"/>
  <c r="H172" i="6"/>
  <c r="G172" i="6"/>
  <c r="F172" i="6"/>
  <c r="C172" i="6"/>
  <c r="H171" i="6"/>
  <c r="G171" i="6"/>
  <c r="F171" i="6"/>
  <c r="C171" i="6"/>
  <c r="H170" i="6"/>
  <c r="G170" i="6"/>
  <c r="F170" i="6"/>
  <c r="C170" i="6"/>
  <c r="H169" i="6"/>
  <c r="G169" i="6"/>
  <c r="F169" i="6"/>
  <c r="C169" i="6"/>
  <c r="H168" i="6"/>
  <c r="G168" i="6"/>
  <c r="F168" i="6"/>
  <c r="C168" i="6"/>
  <c r="H167" i="6"/>
  <c r="G167" i="6"/>
  <c r="F167" i="6"/>
  <c r="C167" i="6"/>
  <c r="H166" i="6"/>
  <c r="G166" i="6"/>
  <c r="F166" i="6"/>
  <c r="C166" i="6"/>
  <c r="H165" i="6"/>
  <c r="G165" i="6"/>
  <c r="F165" i="6"/>
  <c r="C165" i="6"/>
  <c r="H164" i="6"/>
  <c r="G164" i="6"/>
  <c r="F164" i="6"/>
  <c r="C164" i="6"/>
  <c r="H163" i="6"/>
  <c r="G163" i="6"/>
  <c r="F163" i="6"/>
  <c r="C163" i="6"/>
  <c r="H162" i="6"/>
  <c r="G162" i="6"/>
  <c r="F162" i="6"/>
  <c r="C162" i="6"/>
  <c r="H161" i="6"/>
  <c r="G161" i="6"/>
  <c r="F161" i="6"/>
  <c r="C161" i="6"/>
  <c r="H160" i="6"/>
  <c r="G160" i="6"/>
  <c r="F160" i="6"/>
  <c r="C160" i="6"/>
  <c r="H159" i="6"/>
  <c r="G159" i="6"/>
  <c r="F159" i="6"/>
  <c r="C159" i="6"/>
  <c r="H158" i="6"/>
  <c r="G158" i="6"/>
  <c r="F158" i="6"/>
  <c r="C158" i="6"/>
  <c r="H157" i="6"/>
  <c r="G157" i="6"/>
  <c r="F157" i="6"/>
  <c r="C157" i="6"/>
  <c r="H156" i="6"/>
  <c r="G156" i="6"/>
  <c r="F156" i="6"/>
  <c r="C156" i="6"/>
  <c r="H155" i="6"/>
  <c r="G155" i="6"/>
  <c r="F155" i="6"/>
  <c r="C155" i="6"/>
  <c r="H154" i="6"/>
  <c r="G154" i="6"/>
  <c r="F154" i="6"/>
  <c r="C154" i="6"/>
  <c r="H153" i="6"/>
  <c r="G153" i="6"/>
  <c r="F153" i="6"/>
  <c r="C153" i="6"/>
  <c r="H152" i="6"/>
  <c r="G152" i="6"/>
  <c r="F152" i="6"/>
  <c r="C152" i="6"/>
  <c r="H151" i="6"/>
  <c r="G151" i="6"/>
  <c r="F151" i="6"/>
  <c r="C151" i="6"/>
  <c r="H150" i="6"/>
  <c r="G150" i="6"/>
  <c r="F150" i="6"/>
  <c r="C150" i="6"/>
  <c r="H149" i="6"/>
  <c r="G149" i="6"/>
  <c r="F149" i="6"/>
  <c r="C149" i="6"/>
  <c r="H148" i="6"/>
  <c r="G148" i="6"/>
  <c r="F148" i="6"/>
  <c r="C148" i="6"/>
  <c r="H147" i="6"/>
  <c r="G147" i="6"/>
  <c r="F147" i="6"/>
  <c r="C147" i="6"/>
  <c r="H146" i="6"/>
  <c r="G146" i="6"/>
  <c r="F146" i="6"/>
  <c r="C146" i="6"/>
  <c r="H145" i="6"/>
  <c r="G145" i="6"/>
  <c r="F145" i="6"/>
  <c r="C145" i="6"/>
  <c r="H144" i="6"/>
  <c r="G144" i="6"/>
  <c r="F144" i="6"/>
  <c r="C144" i="6"/>
  <c r="H143" i="6"/>
  <c r="G143" i="6"/>
  <c r="F143" i="6"/>
  <c r="C143" i="6"/>
  <c r="H142" i="6"/>
  <c r="G142" i="6"/>
  <c r="F142" i="6"/>
  <c r="C142" i="6"/>
  <c r="H141" i="6"/>
  <c r="G141" i="6"/>
  <c r="F141" i="6"/>
  <c r="C141" i="6"/>
  <c r="H140" i="6"/>
  <c r="G140" i="6"/>
  <c r="F140" i="6"/>
  <c r="C140" i="6"/>
  <c r="H139" i="6"/>
  <c r="G139" i="6"/>
  <c r="F139" i="6"/>
  <c r="C139" i="6"/>
  <c r="H138" i="6"/>
  <c r="G138" i="6"/>
  <c r="F138" i="6"/>
  <c r="C138" i="6"/>
  <c r="H137" i="6"/>
  <c r="G137" i="6"/>
  <c r="F137" i="6"/>
  <c r="C137" i="6"/>
  <c r="H136" i="6"/>
  <c r="G136" i="6"/>
  <c r="F136" i="6"/>
  <c r="C136" i="6"/>
  <c r="H135" i="6"/>
  <c r="G135" i="6"/>
  <c r="F135" i="6"/>
  <c r="C135" i="6"/>
  <c r="H134" i="6"/>
  <c r="G134" i="6"/>
  <c r="F134" i="6"/>
  <c r="C134" i="6"/>
  <c r="H133" i="6"/>
  <c r="G133" i="6"/>
  <c r="F133" i="6"/>
  <c r="C133" i="6"/>
  <c r="H132" i="6"/>
  <c r="G132" i="6"/>
  <c r="F132" i="6"/>
  <c r="C132" i="6"/>
  <c r="H131" i="6"/>
  <c r="G131" i="6"/>
  <c r="F131" i="6"/>
  <c r="C131" i="6"/>
  <c r="H130" i="6"/>
  <c r="G130" i="6"/>
  <c r="F130" i="6"/>
  <c r="C130" i="6"/>
  <c r="H129" i="6"/>
  <c r="G129" i="6"/>
  <c r="F129" i="6"/>
  <c r="C129" i="6"/>
  <c r="H128" i="6"/>
  <c r="G128" i="6"/>
  <c r="F128" i="6"/>
  <c r="C128" i="6"/>
  <c r="H127" i="6"/>
  <c r="G127" i="6"/>
  <c r="F127" i="6"/>
  <c r="C127" i="6"/>
  <c r="H126" i="6"/>
  <c r="G126" i="6"/>
  <c r="F126" i="6"/>
  <c r="C126" i="6"/>
  <c r="H125" i="6"/>
  <c r="G125" i="6"/>
  <c r="F125" i="6"/>
  <c r="C125" i="6"/>
  <c r="H124" i="6"/>
  <c r="G124" i="6"/>
  <c r="F124" i="6"/>
  <c r="C124" i="6"/>
  <c r="H123" i="6"/>
  <c r="G123" i="6"/>
  <c r="F123" i="6"/>
  <c r="C123" i="6"/>
  <c r="H122" i="6"/>
  <c r="G122" i="6"/>
  <c r="F122" i="6"/>
  <c r="C122" i="6"/>
  <c r="H121" i="6"/>
  <c r="G121" i="6"/>
  <c r="F121" i="6"/>
  <c r="C121" i="6"/>
  <c r="H120" i="6"/>
  <c r="G120" i="6"/>
  <c r="F120" i="6"/>
  <c r="C120" i="6"/>
  <c r="H119" i="6"/>
  <c r="G119" i="6"/>
  <c r="F119" i="6"/>
  <c r="C119" i="6"/>
  <c r="H118" i="6"/>
  <c r="G118" i="6"/>
  <c r="F118" i="6"/>
  <c r="C118" i="6"/>
  <c r="H117" i="6"/>
  <c r="G117" i="6"/>
  <c r="F117" i="6"/>
  <c r="C117" i="6"/>
  <c r="H116" i="6"/>
  <c r="G116" i="6"/>
  <c r="F116" i="6"/>
  <c r="C116" i="6"/>
  <c r="H115" i="6"/>
  <c r="G115" i="6"/>
  <c r="F115" i="6"/>
  <c r="C115" i="6"/>
  <c r="H114" i="6"/>
  <c r="G114" i="6"/>
  <c r="F114" i="6"/>
  <c r="C114" i="6"/>
  <c r="H113" i="6"/>
  <c r="G113" i="6"/>
  <c r="F113" i="6"/>
  <c r="C113" i="6"/>
  <c r="H112" i="6"/>
  <c r="G112" i="6"/>
  <c r="F112" i="6"/>
  <c r="C112" i="6"/>
  <c r="H111" i="6"/>
  <c r="G111" i="6"/>
  <c r="F111" i="6"/>
  <c r="C111" i="6"/>
  <c r="H110" i="6"/>
  <c r="G110" i="6"/>
  <c r="F110" i="6"/>
  <c r="C110" i="6"/>
  <c r="H109" i="6"/>
  <c r="G109" i="6"/>
  <c r="F109" i="6"/>
  <c r="C109" i="6"/>
  <c r="H108" i="6"/>
  <c r="G108" i="6"/>
  <c r="F108" i="6"/>
  <c r="C108" i="6"/>
  <c r="H107" i="6"/>
  <c r="G107" i="6"/>
  <c r="F107" i="6"/>
  <c r="C107" i="6"/>
  <c r="H106" i="6"/>
  <c r="G106" i="6"/>
  <c r="F106" i="6"/>
  <c r="C106" i="6"/>
  <c r="H105" i="6"/>
  <c r="G105" i="6"/>
  <c r="F105" i="6"/>
  <c r="C105" i="6"/>
  <c r="H104" i="6"/>
  <c r="G104" i="6"/>
  <c r="F104" i="6"/>
  <c r="C104" i="6"/>
  <c r="H103" i="6"/>
  <c r="G103" i="6"/>
  <c r="F103" i="6"/>
  <c r="C103" i="6"/>
  <c r="H102" i="6"/>
  <c r="G102" i="6"/>
  <c r="F102" i="6"/>
  <c r="C102" i="6"/>
  <c r="H101" i="6"/>
  <c r="G101" i="6"/>
  <c r="F101" i="6"/>
  <c r="C101" i="6"/>
  <c r="H100" i="6"/>
  <c r="G100" i="6"/>
  <c r="F100" i="6"/>
  <c r="C100" i="6"/>
  <c r="H99" i="6"/>
  <c r="G99" i="6"/>
  <c r="F99" i="6"/>
  <c r="C99" i="6"/>
  <c r="H98" i="6"/>
  <c r="G98" i="6"/>
  <c r="F98" i="6"/>
  <c r="C98" i="6"/>
  <c r="H97" i="6"/>
  <c r="G97" i="6"/>
  <c r="F97" i="6"/>
  <c r="C97" i="6"/>
  <c r="H96" i="6"/>
  <c r="G96" i="6"/>
  <c r="F96" i="6"/>
  <c r="C96" i="6"/>
  <c r="H95" i="6"/>
  <c r="G95" i="6"/>
  <c r="F95" i="6"/>
  <c r="C95" i="6"/>
  <c r="H94" i="6"/>
  <c r="G94" i="6"/>
  <c r="F94" i="6"/>
  <c r="C94" i="6"/>
  <c r="H93" i="6"/>
  <c r="G93" i="6"/>
  <c r="F93" i="6"/>
  <c r="C93" i="6"/>
  <c r="H92" i="6"/>
  <c r="G92" i="6"/>
  <c r="F92" i="6"/>
  <c r="C92" i="6"/>
  <c r="H91" i="6"/>
  <c r="G91" i="6"/>
  <c r="F91" i="6"/>
  <c r="C91" i="6"/>
  <c r="H90" i="6"/>
  <c r="G90" i="6"/>
  <c r="F90" i="6"/>
  <c r="C90" i="6"/>
  <c r="H89" i="6"/>
  <c r="G89" i="6"/>
  <c r="F89" i="6"/>
  <c r="C89" i="6"/>
  <c r="H88" i="6"/>
  <c r="G88" i="6"/>
  <c r="F88" i="6"/>
  <c r="C88" i="6"/>
  <c r="H87" i="6"/>
  <c r="G87" i="6"/>
  <c r="F87" i="6"/>
  <c r="C87" i="6"/>
  <c r="H86" i="6"/>
  <c r="G86" i="6"/>
  <c r="F86" i="6"/>
  <c r="C86" i="6"/>
  <c r="H85" i="6"/>
  <c r="G85" i="6"/>
  <c r="F85" i="6"/>
  <c r="C85" i="6"/>
  <c r="H84" i="6"/>
  <c r="G84" i="6"/>
  <c r="F84" i="6"/>
  <c r="C84" i="6"/>
  <c r="H83" i="6"/>
  <c r="G83" i="6"/>
  <c r="F83" i="6"/>
  <c r="C83" i="6"/>
  <c r="H82" i="6"/>
  <c r="G82" i="6"/>
  <c r="F82" i="6"/>
  <c r="C82" i="6"/>
  <c r="H81" i="6"/>
  <c r="G81" i="6"/>
  <c r="F81" i="6"/>
  <c r="C81" i="6"/>
  <c r="H80" i="6"/>
  <c r="G80" i="6"/>
  <c r="F80" i="6"/>
  <c r="C80" i="6"/>
  <c r="H79" i="6"/>
  <c r="G79" i="6"/>
  <c r="F79" i="6"/>
  <c r="C79" i="6"/>
  <c r="H78" i="6"/>
  <c r="G78" i="6"/>
  <c r="F78" i="6"/>
  <c r="C78" i="6"/>
  <c r="H77" i="6"/>
  <c r="G77" i="6"/>
  <c r="F77" i="6"/>
  <c r="C77" i="6"/>
  <c r="H76" i="6"/>
  <c r="G76" i="6"/>
  <c r="F76" i="6"/>
  <c r="C76" i="6"/>
  <c r="H75" i="6"/>
  <c r="G75" i="6"/>
  <c r="F75" i="6"/>
  <c r="C75" i="6"/>
  <c r="H74" i="6"/>
  <c r="G74" i="6"/>
  <c r="F74" i="6"/>
  <c r="C74" i="6"/>
  <c r="H73" i="6"/>
  <c r="G73" i="6"/>
  <c r="F73" i="6"/>
  <c r="C73" i="6"/>
  <c r="H72" i="6"/>
  <c r="G72" i="6"/>
  <c r="F72" i="6"/>
  <c r="C72" i="6"/>
  <c r="H71" i="6"/>
  <c r="G71" i="6"/>
  <c r="F71" i="6"/>
  <c r="C71" i="6"/>
  <c r="H70" i="6"/>
  <c r="G70" i="6"/>
  <c r="F70" i="6"/>
  <c r="C70" i="6"/>
  <c r="H69" i="6"/>
  <c r="G69" i="6"/>
  <c r="F69" i="6"/>
  <c r="C69" i="6"/>
  <c r="H68" i="6"/>
  <c r="G68" i="6"/>
  <c r="F68" i="6"/>
  <c r="C68" i="6"/>
  <c r="H67" i="6"/>
  <c r="G67" i="6"/>
  <c r="F67" i="6"/>
  <c r="C67" i="6"/>
  <c r="H66" i="6"/>
  <c r="G66" i="6"/>
  <c r="F66" i="6"/>
  <c r="C66" i="6"/>
  <c r="H65" i="6"/>
  <c r="G65" i="6"/>
  <c r="F65" i="6"/>
  <c r="C65" i="6"/>
  <c r="H64" i="6"/>
  <c r="G64" i="6"/>
  <c r="F64" i="6"/>
  <c r="C64" i="6"/>
  <c r="H63" i="6"/>
  <c r="G63" i="6"/>
  <c r="F63" i="6"/>
  <c r="C63" i="6"/>
  <c r="H62" i="6"/>
  <c r="G62" i="6"/>
  <c r="F62" i="6"/>
  <c r="C62" i="6"/>
  <c r="H61" i="6"/>
  <c r="G61" i="6"/>
  <c r="F61" i="6"/>
  <c r="C61" i="6"/>
  <c r="H60" i="6"/>
  <c r="G60" i="6"/>
  <c r="F60" i="6"/>
  <c r="C60" i="6"/>
  <c r="H59" i="6"/>
  <c r="G59" i="6"/>
  <c r="F59" i="6"/>
  <c r="C59" i="6"/>
  <c r="H58" i="6"/>
  <c r="G58" i="6"/>
  <c r="F58" i="6"/>
  <c r="C58" i="6"/>
  <c r="H57" i="6"/>
  <c r="G57" i="6"/>
  <c r="F57" i="6"/>
  <c r="C57" i="6"/>
  <c r="H56" i="6"/>
  <c r="G56" i="6"/>
  <c r="F56" i="6"/>
  <c r="C56" i="6"/>
  <c r="H55" i="6"/>
  <c r="G55" i="6"/>
  <c r="F55" i="6"/>
  <c r="C55" i="6"/>
  <c r="H54" i="6"/>
  <c r="G54" i="6"/>
  <c r="F54" i="6"/>
  <c r="C54" i="6"/>
  <c r="H53" i="6"/>
  <c r="G53" i="6"/>
  <c r="F53" i="6"/>
  <c r="C53" i="6"/>
  <c r="H52" i="6"/>
  <c r="G52" i="6"/>
  <c r="F52" i="6"/>
  <c r="C52" i="6"/>
  <c r="H51" i="6"/>
  <c r="G51" i="6"/>
  <c r="F51" i="6"/>
  <c r="C51" i="6"/>
  <c r="H50" i="6"/>
  <c r="G50" i="6"/>
  <c r="F50" i="6"/>
  <c r="C50" i="6"/>
  <c r="H49" i="6"/>
  <c r="G49" i="6"/>
  <c r="F49" i="6"/>
  <c r="C49" i="6"/>
  <c r="H48" i="6"/>
  <c r="G48" i="6"/>
  <c r="F48" i="6"/>
  <c r="C48" i="6"/>
  <c r="H47" i="6"/>
  <c r="G47" i="6"/>
  <c r="F47" i="6"/>
  <c r="C47" i="6"/>
  <c r="H46" i="6"/>
  <c r="G46" i="6"/>
  <c r="F46" i="6"/>
  <c r="C46" i="6"/>
  <c r="H45" i="6"/>
  <c r="G45" i="6"/>
  <c r="F45" i="6"/>
  <c r="C45" i="6"/>
  <c r="H44" i="6"/>
  <c r="G44" i="6"/>
  <c r="F44" i="6"/>
  <c r="C44" i="6"/>
  <c r="H43" i="6"/>
  <c r="G43" i="6"/>
  <c r="F43" i="6"/>
  <c r="C43" i="6"/>
  <c r="H42" i="6"/>
  <c r="G42" i="6"/>
  <c r="F42" i="6"/>
  <c r="C42" i="6"/>
  <c r="H41" i="6"/>
  <c r="G41" i="6"/>
  <c r="F41" i="6"/>
  <c r="C41" i="6"/>
  <c r="H40" i="6"/>
  <c r="G40" i="6"/>
  <c r="F40" i="6"/>
  <c r="C40" i="6"/>
  <c r="H39" i="6"/>
  <c r="G39" i="6"/>
  <c r="F39" i="6"/>
  <c r="C39" i="6"/>
  <c r="H38" i="6"/>
  <c r="G38" i="6"/>
  <c r="F38" i="6"/>
  <c r="C38" i="6"/>
  <c r="H37" i="6"/>
  <c r="G37" i="6"/>
  <c r="F37" i="6"/>
  <c r="C37" i="6"/>
  <c r="H36" i="6"/>
  <c r="G36" i="6"/>
  <c r="F36" i="6"/>
  <c r="C36" i="6"/>
  <c r="H35" i="6"/>
  <c r="G35" i="6"/>
  <c r="F35" i="6"/>
  <c r="C35" i="6"/>
  <c r="H34" i="6"/>
  <c r="G34" i="6"/>
  <c r="F34" i="6"/>
  <c r="C34" i="6"/>
  <c r="H33" i="6"/>
  <c r="G33" i="6"/>
  <c r="F33" i="6"/>
  <c r="C33" i="6"/>
  <c r="H32" i="6"/>
  <c r="G32" i="6"/>
  <c r="F32" i="6"/>
  <c r="C32" i="6"/>
  <c r="H31" i="6"/>
  <c r="G31" i="6"/>
  <c r="F31" i="6"/>
  <c r="C31" i="6"/>
  <c r="H30" i="6"/>
  <c r="G30" i="6"/>
  <c r="F30" i="6"/>
  <c r="C30" i="6"/>
  <c r="H29" i="6"/>
  <c r="G29" i="6"/>
  <c r="F29" i="6"/>
  <c r="C29" i="6"/>
  <c r="H28" i="6"/>
  <c r="G28" i="6"/>
  <c r="F28" i="6"/>
  <c r="C28" i="6"/>
  <c r="H27" i="6"/>
  <c r="G27" i="6"/>
  <c r="F27" i="6"/>
  <c r="C27" i="6"/>
  <c r="H26" i="6"/>
  <c r="G26" i="6"/>
  <c r="F26" i="6"/>
  <c r="C26" i="6"/>
  <c r="H25" i="6"/>
  <c r="G25" i="6"/>
  <c r="F25" i="6"/>
  <c r="C25" i="6"/>
  <c r="H24" i="6"/>
  <c r="G24" i="6"/>
  <c r="F24" i="6"/>
  <c r="C24" i="6"/>
  <c r="H23" i="6"/>
  <c r="G23" i="6"/>
  <c r="F23" i="6"/>
  <c r="C23" i="6"/>
  <c r="H22" i="6"/>
  <c r="G22" i="6"/>
  <c r="F22" i="6"/>
  <c r="C22" i="6"/>
  <c r="H21" i="6"/>
  <c r="G21" i="6"/>
  <c r="F21" i="6"/>
  <c r="C21" i="6"/>
  <c r="H20" i="6"/>
  <c r="G20" i="6"/>
  <c r="F20" i="6"/>
  <c r="C20" i="6"/>
  <c r="H19" i="6"/>
  <c r="G19" i="6"/>
  <c r="F19" i="6"/>
  <c r="C19" i="6"/>
  <c r="H18" i="6"/>
  <c r="G18" i="6"/>
  <c r="F18" i="6"/>
  <c r="C18" i="6"/>
  <c r="H17" i="6"/>
  <c r="G17" i="6"/>
  <c r="F17" i="6"/>
  <c r="C17" i="6"/>
  <c r="H16" i="6"/>
  <c r="G16" i="6"/>
  <c r="F16" i="6"/>
  <c r="C16" i="6"/>
  <c r="H15" i="6"/>
  <c r="G15" i="6"/>
  <c r="F15" i="6"/>
  <c r="C15" i="6"/>
  <c r="H14" i="6"/>
  <c r="G14" i="6"/>
  <c r="F14" i="6"/>
  <c r="C14" i="6"/>
  <c r="H13" i="6"/>
  <c r="G13" i="6"/>
  <c r="F13" i="6"/>
  <c r="C13" i="6"/>
  <c r="H12" i="6"/>
  <c r="G12" i="6"/>
  <c r="F12" i="6"/>
  <c r="C12" i="6"/>
  <c r="H11" i="6"/>
  <c r="G11" i="6"/>
  <c r="F11" i="6"/>
  <c r="C11" i="6"/>
  <c r="H10" i="6"/>
  <c r="G10" i="6"/>
  <c r="F10" i="6"/>
  <c r="C10" i="6"/>
  <c r="H9" i="6"/>
  <c r="G9" i="6"/>
  <c r="F9" i="6"/>
  <c r="C9" i="6"/>
  <c r="H8" i="6"/>
  <c r="G8" i="6"/>
  <c r="F8" i="6"/>
  <c r="C8" i="6"/>
  <c r="H7" i="6"/>
  <c r="G7" i="6"/>
  <c r="F7" i="6"/>
  <c r="C7" i="6"/>
  <c r="H6" i="6"/>
  <c r="G6" i="6"/>
  <c r="F6" i="6"/>
  <c r="C6" i="6"/>
  <c r="H5" i="6"/>
  <c r="G5" i="6"/>
  <c r="F5" i="6"/>
  <c r="C5" i="6"/>
  <c r="F4" i="6"/>
  <c r="G4" i="6" s="1"/>
  <c r="H4" i="6" s="1"/>
  <c r="F3" i="6"/>
  <c r="G3" i="6" s="1"/>
  <c r="H3" i="6" s="1"/>
  <c r="T499" i="5"/>
  <c r="S499" i="5"/>
  <c r="P499" i="5"/>
  <c r="O499" i="5"/>
  <c r="J499" i="5"/>
  <c r="C499" i="5"/>
  <c r="T498" i="5"/>
  <c r="S498" i="5"/>
  <c r="P498" i="5"/>
  <c r="O498" i="5"/>
  <c r="J498" i="5"/>
  <c r="C498" i="5"/>
  <c r="T497" i="5"/>
  <c r="S497" i="5"/>
  <c r="P497" i="5"/>
  <c r="O497" i="5"/>
  <c r="J497" i="5"/>
  <c r="C497" i="5"/>
  <c r="T496" i="5"/>
  <c r="S496" i="5"/>
  <c r="P496" i="5"/>
  <c r="O496" i="5"/>
  <c r="J496" i="5"/>
  <c r="C496" i="5"/>
  <c r="T495" i="5"/>
  <c r="S495" i="5"/>
  <c r="P495" i="5"/>
  <c r="O495" i="5"/>
  <c r="J495" i="5"/>
  <c r="C495" i="5"/>
  <c r="T494" i="5"/>
  <c r="S494" i="5"/>
  <c r="P494" i="5"/>
  <c r="O494" i="5"/>
  <c r="J494" i="5"/>
  <c r="C494" i="5"/>
  <c r="T493" i="5"/>
  <c r="S493" i="5"/>
  <c r="P493" i="5"/>
  <c r="O493" i="5"/>
  <c r="J493" i="5"/>
  <c r="C493" i="5"/>
  <c r="T492" i="5"/>
  <c r="S492" i="5"/>
  <c r="P492" i="5"/>
  <c r="O492" i="5"/>
  <c r="J492" i="5"/>
  <c r="C492" i="5"/>
  <c r="T491" i="5"/>
  <c r="S491" i="5"/>
  <c r="P491" i="5"/>
  <c r="O491" i="5"/>
  <c r="J491" i="5"/>
  <c r="C491" i="5"/>
  <c r="T490" i="5"/>
  <c r="S490" i="5"/>
  <c r="P490" i="5"/>
  <c r="O490" i="5"/>
  <c r="J490" i="5"/>
  <c r="C490" i="5"/>
  <c r="T489" i="5"/>
  <c r="S489" i="5"/>
  <c r="P489" i="5"/>
  <c r="O489" i="5"/>
  <c r="J489" i="5"/>
  <c r="C489" i="5"/>
  <c r="T488" i="5"/>
  <c r="S488" i="5"/>
  <c r="P488" i="5"/>
  <c r="O488" i="5"/>
  <c r="J488" i="5"/>
  <c r="C488" i="5"/>
  <c r="T487" i="5"/>
  <c r="S487" i="5"/>
  <c r="P487" i="5"/>
  <c r="O487" i="5"/>
  <c r="J487" i="5"/>
  <c r="C487" i="5"/>
  <c r="T486" i="5"/>
  <c r="S486" i="5"/>
  <c r="P486" i="5"/>
  <c r="O486" i="5"/>
  <c r="J486" i="5"/>
  <c r="C486" i="5"/>
  <c r="T485" i="5"/>
  <c r="S485" i="5"/>
  <c r="P485" i="5"/>
  <c r="O485" i="5"/>
  <c r="J485" i="5"/>
  <c r="C485" i="5"/>
  <c r="T484" i="5"/>
  <c r="S484" i="5"/>
  <c r="P484" i="5"/>
  <c r="O484" i="5"/>
  <c r="J484" i="5"/>
  <c r="C484" i="5"/>
  <c r="T483" i="5"/>
  <c r="S483" i="5"/>
  <c r="P483" i="5"/>
  <c r="O483" i="5"/>
  <c r="J483" i="5"/>
  <c r="C483" i="5"/>
  <c r="T482" i="5"/>
  <c r="S482" i="5"/>
  <c r="P482" i="5"/>
  <c r="O482" i="5"/>
  <c r="J482" i="5"/>
  <c r="C482" i="5"/>
  <c r="T481" i="5"/>
  <c r="S481" i="5"/>
  <c r="P481" i="5"/>
  <c r="O481" i="5"/>
  <c r="J481" i="5"/>
  <c r="C481" i="5"/>
  <c r="T480" i="5"/>
  <c r="S480" i="5"/>
  <c r="P480" i="5"/>
  <c r="O480" i="5"/>
  <c r="J480" i="5"/>
  <c r="C480" i="5"/>
  <c r="T479" i="5"/>
  <c r="S479" i="5"/>
  <c r="P479" i="5"/>
  <c r="O479" i="5"/>
  <c r="J479" i="5"/>
  <c r="C479" i="5"/>
  <c r="T478" i="5"/>
  <c r="S478" i="5"/>
  <c r="P478" i="5"/>
  <c r="O478" i="5"/>
  <c r="J478" i="5"/>
  <c r="C478" i="5"/>
  <c r="T477" i="5"/>
  <c r="S477" i="5"/>
  <c r="P477" i="5"/>
  <c r="O477" i="5"/>
  <c r="J477" i="5"/>
  <c r="C477" i="5"/>
  <c r="T476" i="5"/>
  <c r="S476" i="5"/>
  <c r="P476" i="5"/>
  <c r="O476" i="5"/>
  <c r="J476" i="5"/>
  <c r="C476" i="5"/>
  <c r="T475" i="5"/>
  <c r="S475" i="5"/>
  <c r="P475" i="5"/>
  <c r="O475" i="5"/>
  <c r="J475" i="5"/>
  <c r="C475" i="5"/>
  <c r="T474" i="5"/>
  <c r="S474" i="5"/>
  <c r="P474" i="5"/>
  <c r="O474" i="5"/>
  <c r="J474" i="5"/>
  <c r="C474" i="5"/>
  <c r="T473" i="5"/>
  <c r="S473" i="5"/>
  <c r="P473" i="5"/>
  <c r="O473" i="5"/>
  <c r="J473" i="5"/>
  <c r="C473" i="5"/>
  <c r="T472" i="5"/>
  <c r="S472" i="5"/>
  <c r="P472" i="5"/>
  <c r="O472" i="5"/>
  <c r="J472" i="5"/>
  <c r="C472" i="5"/>
  <c r="T471" i="5"/>
  <c r="S471" i="5"/>
  <c r="P471" i="5"/>
  <c r="O471" i="5"/>
  <c r="J471" i="5"/>
  <c r="C471" i="5"/>
  <c r="T470" i="5"/>
  <c r="S470" i="5"/>
  <c r="P470" i="5"/>
  <c r="O470" i="5"/>
  <c r="J470" i="5"/>
  <c r="C470" i="5"/>
  <c r="T469" i="5"/>
  <c r="S469" i="5"/>
  <c r="P469" i="5"/>
  <c r="O469" i="5"/>
  <c r="J469" i="5"/>
  <c r="C469" i="5"/>
  <c r="T468" i="5"/>
  <c r="S468" i="5"/>
  <c r="P468" i="5"/>
  <c r="O468" i="5"/>
  <c r="J468" i="5"/>
  <c r="C468" i="5"/>
  <c r="T467" i="5"/>
  <c r="S467" i="5"/>
  <c r="P467" i="5"/>
  <c r="O467" i="5"/>
  <c r="J467" i="5"/>
  <c r="C467" i="5"/>
  <c r="T466" i="5"/>
  <c r="S466" i="5"/>
  <c r="P466" i="5"/>
  <c r="O466" i="5"/>
  <c r="J466" i="5"/>
  <c r="C466" i="5"/>
  <c r="T465" i="5"/>
  <c r="S465" i="5"/>
  <c r="P465" i="5"/>
  <c r="O465" i="5"/>
  <c r="J465" i="5"/>
  <c r="C465" i="5"/>
  <c r="T464" i="5"/>
  <c r="S464" i="5"/>
  <c r="P464" i="5"/>
  <c r="O464" i="5"/>
  <c r="J464" i="5"/>
  <c r="C464" i="5"/>
  <c r="T463" i="5"/>
  <c r="S463" i="5"/>
  <c r="P463" i="5"/>
  <c r="O463" i="5"/>
  <c r="J463" i="5"/>
  <c r="C463" i="5"/>
  <c r="T462" i="5"/>
  <c r="S462" i="5"/>
  <c r="P462" i="5"/>
  <c r="O462" i="5"/>
  <c r="J462" i="5"/>
  <c r="C462" i="5"/>
  <c r="T461" i="5"/>
  <c r="S461" i="5"/>
  <c r="P461" i="5"/>
  <c r="O461" i="5"/>
  <c r="J461" i="5"/>
  <c r="C461" i="5"/>
  <c r="T460" i="5"/>
  <c r="S460" i="5"/>
  <c r="P460" i="5"/>
  <c r="O460" i="5"/>
  <c r="J460" i="5"/>
  <c r="C460" i="5"/>
  <c r="T459" i="5"/>
  <c r="S459" i="5"/>
  <c r="P459" i="5"/>
  <c r="O459" i="5"/>
  <c r="J459" i="5"/>
  <c r="C459" i="5"/>
  <c r="T458" i="5"/>
  <c r="S458" i="5"/>
  <c r="P458" i="5"/>
  <c r="O458" i="5"/>
  <c r="J458" i="5"/>
  <c r="C458" i="5"/>
  <c r="T457" i="5"/>
  <c r="S457" i="5"/>
  <c r="P457" i="5"/>
  <c r="O457" i="5"/>
  <c r="J457" i="5"/>
  <c r="C457" i="5"/>
  <c r="T456" i="5"/>
  <c r="S456" i="5"/>
  <c r="P456" i="5"/>
  <c r="O456" i="5"/>
  <c r="J456" i="5"/>
  <c r="C456" i="5"/>
  <c r="T455" i="5"/>
  <c r="S455" i="5"/>
  <c r="P455" i="5"/>
  <c r="O455" i="5"/>
  <c r="J455" i="5"/>
  <c r="C455" i="5"/>
  <c r="T454" i="5"/>
  <c r="S454" i="5"/>
  <c r="P454" i="5"/>
  <c r="O454" i="5"/>
  <c r="J454" i="5"/>
  <c r="C454" i="5"/>
  <c r="T453" i="5"/>
  <c r="S453" i="5"/>
  <c r="P453" i="5"/>
  <c r="O453" i="5"/>
  <c r="J453" i="5"/>
  <c r="C453" i="5"/>
  <c r="T452" i="5"/>
  <c r="S452" i="5"/>
  <c r="P452" i="5"/>
  <c r="O452" i="5"/>
  <c r="J452" i="5"/>
  <c r="C452" i="5"/>
  <c r="T451" i="5"/>
  <c r="S451" i="5"/>
  <c r="P451" i="5"/>
  <c r="O451" i="5"/>
  <c r="J451" i="5"/>
  <c r="C451" i="5"/>
  <c r="T450" i="5"/>
  <c r="S450" i="5"/>
  <c r="P450" i="5"/>
  <c r="O450" i="5"/>
  <c r="J450" i="5"/>
  <c r="C450" i="5"/>
  <c r="T449" i="5"/>
  <c r="S449" i="5"/>
  <c r="P449" i="5"/>
  <c r="O449" i="5"/>
  <c r="J449" i="5"/>
  <c r="C449" i="5"/>
  <c r="T448" i="5"/>
  <c r="S448" i="5"/>
  <c r="P448" i="5"/>
  <c r="O448" i="5"/>
  <c r="J448" i="5"/>
  <c r="C448" i="5"/>
  <c r="T447" i="5"/>
  <c r="S447" i="5"/>
  <c r="P447" i="5"/>
  <c r="O447" i="5"/>
  <c r="J447" i="5"/>
  <c r="C447" i="5"/>
  <c r="T446" i="5"/>
  <c r="S446" i="5"/>
  <c r="P446" i="5"/>
  <c r="O446" i="5"/>
  <c r="J446" i="5"/>
  <c r="C446" i="5"/>
  <c r="T445" i="5"/>
  <c r="S445" i="5"/>
  <c r="P445" i="5"/>
  <c r="O445" i="5"/>
  <c r="J445" i="5"/>
  <c r="C445" i="5"/>
  <c r="T444" i="5"/>
  <c r="S444" i="5"/>
  <c r="P444" i="5"/>
  <c r="O444" i="5"/>
  <c r="J444" i="5"/>
  <c r="C444" i="5"/>
  <c r="T443" i="5"/>
  <c r="S443" i="5"/>
  <c r="P443" i="5"/>
  <c r="O443" i="5"/>
  <c r="J443" i="5"/>
  <c r="C443" i="5"/>
  <c r="T442" i="5"/>
  <c r="S442" i="5"/>
  <c r="P442" i="5"/>
  <c r="O442" i="5"/>
  <c r="J442" i="5"/>
  <c r="C442" i="5"/>
  <c r="T441" i="5"/>
  <c r="S441" i="5"/>
  <c r="P441" i="5"/>
  <c r="O441" i="5"/>
  <c r="J441" i="5"/>
  <c r="C441" i="5"/>
  <c r="T440" i="5"/>
  <c r="S440" i="5"/>
  <c r="P440" i="5"/>
  <c r="O440" i="5"/>
  <c r="J440" i="5"/>
  <c r="C440" i="5"/>
  <c r="T439" i="5"/>
  <c r="S439" i="5"/>
  <c r="P439" i="5"/>
  <c r="O439" i="5"/>
  <c r="J439" i="5"/>
  <c r="C439" i="5"/>
  <c r="T438" i="5"/>
  <c r="S438" i="5"/>
  <c r="P438" i="5"/>
  <c r="O438" i="5"/>
  <c r="J438" i="5"/>
  <c r="C438" i="5"/>
  <c r="T437" i="5"/>
  <c r="S437" i="5"/>
  <c r="P437" i="5"/>
  <c r="O437" i="5"/>
  <c r="J437" i="5"/>
  <c r="C437" i="5"/>
  <c r="T436" i="5"/>
  <c r="S436" i="5"/>
  <c r="P436" i="5"/>
  <c r="O436" i="5"/>
  <c r="J436" i="5"/>
  <c r="C436" i="5"/>
  <c r="T435" i="5"/>
  <c r="S435" i="5"/>
  <c r="P435" i="5"/>
  <c r="O435" i="5"/>
  <c r="J435" i="5"/>
  <c r="C435" i="5"/>
  <c r="T434" i="5"/>
  <c r="S434" i="5"/>
  <c r="P434" i="5"/>
  <c r="O434" i="5"/>
  <c r="J434" i="5"/>
  <c r="C434" i="5"/>
  <c r="T433" i="5"/>
  <c r="S433" i="5"/>
  <c r="P433" i="5"/>
  <c r="O433" i="5"/>
  <c r="J433" i="5"/>
  <c r="C433" i="5"/>
  <c r="T432" i="5"/>
  <c r="S432" i="5"/>
  <c r="P432" i="5"/>
  <c r="O432" i="5"/>
  <c r="J432" i="5"/>
  <c r="C432" i="5"/>
  <c r="T431" i="5"/>
  <c r="S431" i="5"/>
  <c r="P431" i="5"/>
  <c r="O431" i="5"/>
  <c r="J431" i="5"/>
  <c r="C431" i="5"/>
  <c r="T430" i="5"/>
  <c r="S430" i="5"/>
  <c r="P430" i="5"/>
  <c r="O430" i="5"/>
  <c r="J430" i="5"/>
  <c r="C430" i="5"/>
  <c r="T429" i="5"/>
  <c r="S429" i="5"/>
  <c r="P429" i="5"/>
  <c r="O429" i="5"/>
  <c r="J429" i="5"/>
  <c r="C429" i="5"/>
  <c r="T428" i="5"/>
  <c r="S428" i="5"/>
  <c r="P428" i="5"/>
  <c r="O428" i="5"/>
  <c r="J428" i="5"/>
  <c r="C428" i="5"/>
  <c r="T427" i="5"/>
  <c r="S427" i="5"/>
  <c r="P427" i="5"/>
  <c r="O427" i="5"/>
  <c r="J427" i="5"/>
  <c r="C427" i="5"/>
  <c r="T426" i="5"/>
  <c r="S426" i="5"/>
  <c r="P426" i="5"/>
  <c r="O426" i="5"/>
  <c r="J426" i="5"/>
  <c r="C426" i="5"/>
  <c r="T425" i="5"/>
  <c r="S425" i="5"/>
  <c r="P425" i="5"/>
  <c r="O425" i="5"/>
  <c r="J425" i="5"/>
  <c r="C425" i="5"/>
  <c r="T424" i="5"/>
  <c r="S424" i="5"/>
  <c r="P424" i="5"/>
  <c r="O424" i="5"/>
  <c r="J424" i="5"/>
  <c r="C424" i="5"/>
  <c r="T423" i="5"/>
  <c r="S423" i="5"/>
  <c r="P423" i="5"/>
  <c r="O423" i="5"/>
  <c r="J423" i="5"/>
  <c r="C423" i="5"/>
  <c r="T422" i="5"/>
  <c r="S422" i="5"/>
  <c r="P422" i="5"/>
  <c r="O422" i="5"/>
  <c r="J422" i="5"/>
  <c r="C422" i="5"/>
  <c r="T421" i="5"/>
  <c r="S421" i="5"/>
  <c r="P421" i="5"/>
  <c r="O421" i="5"/>
  <c r="J421" i="5"/>
  <c r="C421" i="5"/>
  <c r="T420" i="5"/>
  <c r="S420" i="5"/>
  <c r="P420" i="5"/>
  <c r="O420" i="5"/>
  <c r="J420" i="5"/>
  <c r="C420" i="5"/>
  <c r="T419" i="5"/>
  <c r="S419" i="5"/>
  <c r="P419" i="5"/>
  <c r="O419" i="5"/>
  <c r="J419" i="5"/>
  <c r="C419" i="5"/>
  <c r="T418" i="5"/>
  <c r="S418" i="5"/>
  <c r="P418" i="5"/>
  <c r="O418" i="5"/>
  <c r="J418" i="5"/>
  <c r="C418" i="5"/>
  <c r="T417" i="5"/>
  <c r="S417" i="5"/>
  <c r="P417" i="5"/>
  <c r="O417" i="5"/>
  <c r="J417" i="5"/>
  <c r="C417" i="5"/>
  <c r="T416" i="5"/>
  <c r="S416" i="5"/>
  <c r="P416" i="5"/>
  <c r="O416" i="5"/>
  <c r="J416" i="5"/>
  <c r="C416" i="5"/>
  <c r="T415" i="5"/>
  <c r="S415" i="5"/>
  <c r="P415" i="5"/>
  <c r="O415" i="5"/>
  <c r="J415" i="5"/>
  <c r="C415" i="5"/>
  <c r="T414" i="5"/>
  <c r="S414" i="5"/>
  <c r="P414" i="5"/>
  <c r="O414" i="5"/>
  <c r="J414" i="5"/>
  <c r="C414" i="5"/>
  <c r="T413" i="5"/>
  <c r="S413" i="5"/>
  <c r="P413" i="5"/>
  <c r="O413" i="5"/>
  <c r="J413" i="5"/>
  <c r="C413" i="5"/>
  <c r="T412" i="5"/>
  <c r="S412" i="5"/>
  <c r="P412" i="5"/>
  <c r="O412" i="5"/>
  <c r="J412" i="5"/>
  <c r="C412" i="5"/>
  <c r="T411" i="5"/>
  <c r="S411" i="5"/>
  <c r="P411" i="5"/>
  <c r="O411" i="5"/>
  <c r="J411" i="5"/>
  <c r="C411" i="5"/>
  <c r="T410" i="5"/>
  <c r="S410" i="5"/>
  <c r="P410" i="5"/>
  <c r="O410" i="5"/>
  <c r="J410" i="5"/>
  <c r="C410" i="5"/>
  <c r="T409" i="5"/>
  <c r="S409" i="5"/>
  <c r="P409" i="5"/>
  <c r="O409" i="5"/>
  <c r="J409" i="5"/>
  <c r="C409" i="5"/>
  <c r="T408" i="5"/>
  <c r="S408" i="5"/>
  <c r="P408" i="5"/>
  <c r="O408" i="5"/>
  <c r="J408" i="5"/>
  <c r="C408" i="5"/>
  <c r="T407" i="5"/>
  <c r="S407" i="5"/>
  <c r="P407" i="5"/>
  <c r="O407" i="5"/>
  <c r="J407" i="5"/>
  <c r="C407" i="5"/>
  <c r="T406" i="5"/>
  <c r="S406" i="5"/>
  <c r="P406" i="5"/>
  <c r="O406" i="5"/>
  <c r="J406" i="5"/>
  <c r="C406" i="5"/>
  <c r="T405" i="5"/>
  <c r="S405" i="5"/>
  <c r="P405" i="5"/>
  <c r="O405" i="5"/>
  <c r="J405" i="5"/>
  <c r="C405" i="5"/>
  <c r="T404" i="5"/>
  <c r="S404" i="5"/>
  <c r="P404" i="5"/>
  <c r="O404" i="5"/>
  <c r="J404" i="5"/>
  <c r="C404" i="5"/>
  <c r="T403" i="5"/>
  <c r="S403" i="5"/>
  <c r="P403" i="5"/>
  <c r="O403" i="5"/>
  <c r="J403" i="5"/>
  <c r="C403" i="5"/>
  <c r="T402" i="5"/>
  <c r="S402" i="5"/>
  <c r="P402" i="5"/>
  <c r="O402" i="5"/>
  <c r="J402" i="5"/>
  <c r="C402" i="5"/>
  <c r="T401" i="5"/>
  <c r="S401" i="5"/>
  <c r="P401" i="5"/>
  <c r="O401" i="5"/>
  <c r="J401" i="5"/>
  <c r="C401" i="5"/>
  <c r="T400" i="5"/>
  <c r="S400" i="5"/>
  <c r="P400" i="5"/>
  <c r="O400" i="5"/>
  <c r="J400" i="5"/>
  <c r="C400" i="5"/>
  <c r="T399" i="5"/>
  <c r="S399" i="5"/>
  <c r="P399" i="5"/>
  <c r="O399" i="5"/>
  <c r="J399" i="5"/>
  <c r="C399" i="5"/>
  <c r="T398" i="5"/>
  <c r="S398" i="5"/>
  <c r="P398" i="5"/>
  <c r="O398" i="5"/>
  <c r="J398" i="5"/>
  <c r="C398" i="5"/>
  <c r="T397" i="5"/>
  <c r="S397" i="5"/>
  <c r="P397" i="5"/>
  <c r="O397" i="5"/>
  <c r="J397" i="5"/>
  <c r="C397" i="5"/>
  <c r="T396" i="5"/>
  <c r="S396" i="5"/>
  <c r="P396" i="5"/>
  <c r="O396" i="5"/>
  <c r="J396" i="5"/>
  <c r="C396" i="5"/>
  <c r="T395" i="5"/>
  <c r="S395" i="5"/>
  <c r="P395" i="5"/>
  <c r="O395" i="5"/>
  <c r="J395" i="5"/>
  <c r="C395" i="5"/>
  <c r="T394" i="5"/>
  <c r="S394" i="5"/>
  <c r="P394" i="5"/>
  <c r="O394" i="5"/>
  <c r="J394" i="5"/>
  <c r="C394" i="5"/>
  <c r="T393" i="5"/>
  <c r="S393" i="5"/>
  <c r="P393" i="5"/>
  <c r="O393" i="5"/>
  <c r="J393" i="5"/>
  <c r="C393" i="5"/>
  <c r="T392" i="5"/>
  <c r="S392" i="5"/>
  <c r="P392" i="5"/>
  <c r="O392" i="5"/>
  <c r="J392" i="5"/>
  <c r="C392" i="5"/>
  <c r="T391" i="5"/>
  <c r="S391" i="5"/>
  <c r="P391" i="5"/>
  <c r="O391" i="5"/>
  <c r="J391" i="5"/>
  <c r="C391" i="5"/>
  <c r="T390" i="5"/>
  <c r="S390" i="5"/>
  <c r="P390" i="5"/>
  <c r="O390" i="5"/>
  <c r="J390" i="5"/>
  <c r="C390" i="5"/>
  <c r="T389" i="5"/>
  <c r="S389" i="5"/>
  <c r="P389" i="5"/>
  <c r="O389" i="5"/>
  <c r="J389" i="5"/>
  <c r="C389" i="5"/>
  <c r="T388" i="5"/>
  <c r="S388" i="5"/>
  <c r="P388" i="5"/>
  <c r="O388" i="5"/>
  <c r="J388" i="5"/>
  <c r="C388" i="5"/>
  <c r="T387" i="5"/>
  <c r="S387" i="5"/>
  <c r="P387" i="5"/>
  <c r="O387" i="5"/>
  <c r="J387" i="5"/>
  <c r="C387" i="5"/>
  <c r="T386" i="5"/>
  <c r="S386" i="5"/>
  <c r="P386" i="5"/>
  <c r="O386" i="5"/>
  <c r="J386" i="5"/>
  <c r="C386" i="5"/>
  <c r="T385" i="5"/>
  <c r="S385" i="5"/>
  <c r="P385" i="5"/>
  <c r="O385" i="5"/>
  <c r="J385" i="5"/>
  <c r="C385" i="5"/>
  <c r="T384" i="5"/>
  <c r="S384" i="5"/>
  <c r="P384" i="5"/>
  <c r="O384" i="5"/>
  <c r="J384" i="5"/>
  <c r="C384" i="5"/>
  <c r="T383" i="5"/>
  <c r="S383" i="5"/>
  <c r="P383" i="5"/>
  <c r="O383" i="5"/>
  <c r="J383" i="5"/>
  <c r="C383" i="5"/>
  <c r="T382" i="5"/>
  <c r="S382" i="5"/>
  <c r="P382" i="5"/>
  <c r="O382" i="5"/>
  <c r="J382" i="5"/>
  <c r="C382" i="5"/>
  <c r="T381" i="5"/>
  <c r="S381" i="5"/>
  <c r="P381" i="5"/>
  <c r="O381" i="5"/>
  <c r="J381" i="5"/>
  <c r="C381" i="5"/>
  <c r="T380" i="5"/>
  <c r="S380" i="5"/>
  <c r="P380" i="5"/>
  <c r="O380" i="5"/>
  <c r="J380" i="5"/>
  <c r="C380" i="5"/>
  <c r="T379" i="5"/>
  <c r="S379" i="5"/>
  <c r="P379" i="5"/>
  <c r="O379" i="5"/>
  <c r="J379" i="5"/>
  <c r="C379" i="5"/>
  <c r="T378" i="5"/>
  <c r="S378" i="5"/>
  <c r="P378" i="5"/>
  <c r="O378" i="5"/>
  <c r="J378" i="5"/>
  <c r="C378" i="5"/>
  <c r="T377" i="5"/>
  <c r="S377" i="5"/>
  <c r="P377" i="5"/>
  <c r="O377" i="5"/>
  <c r="J377" i="5"/>
  <c r="C377" i="5"/>
  <c r="T376" i="5"/>
  <c r="S376" i="5"/>
  <c r="P376" i="5"/>
  <c r="O376" i="5"/>
  <c r="J376" i="5"/>
  <c r="C376" i="5"/>
  <c r="T375" i="5"/>
  <c r="S375" i="5"/>
  <c r="P375" i="5"/>
  <c r="O375" i="5"/>
  <c r="J375" i="5"/>
  <c r="C375" i="5"/>
  <c r="T374" i="5"/>
  <c r="S374" i="5"/>
  <c r="P374" i="5"/>
  <c r="O374" i="5"/>
  <c r="J374" i="5"/>
  <c r="C374" i="5"/>
  <c r="T373" i="5"/>
  <c r="S373" i="5"/>
  <c r="P373" i="5"/>
  <c r="O373" i="5"/>
  <c r="J373" i="5"/>
  <c r="C373" i="5"/>
  <c r="T372" i="5"/>
  <c r="S372" i="5"/>
  <c r="P372" i="5"/>
  <c r="O372" i="5"/>
  <c r="J372" i="5"/>
  <c r="C372" i="5"/>
  <c r="T371" i="5"/>
  <c r="S371" i="5"/>
  <c r="P371" i="5"/>
  <c r="O371" i="5"/>
  <c r="J371" i="5"/>
  <c r="C371" i="5"/>
  <c r="T370" i="5"/>
  <c r="S370" i="5"/>
  <c r="P370" i="5"/>
  <c r="O370" i="5"/>
  <c r="J370" i="5"/>
  <c r="C370" i="5"/>
  <c r="T369" i="5"/>
  <c r="S369" i="5"/>
  <c r="P369" i="5"/>
  <c r="O369" i="5"/>
  <c r="J369" i="5"/>
  <c r="C369" i="5"/>
  <c r="T368" i="5"/>
  <c r="S368" i="5"/>
  <c r="P368" i="5"/>
  <c r="O368" i="5"/>
  <c r="J368" i="5"/>
  <c r="C368" i="5"/>
  <c r="T367" i="5"/>
  <c r="S367" i="5"/>
  <c r="P367" i="5"/>
  <c r="O367" i="5"/>
  <c r="J367" i="5"/>
  <c r="C367" i="5"/>
  <c r="T366" i="5"/>
  <c r="S366" i="5"/>
  <c r="P366" i="5"/>
  <c r="O366" i="5"/>
  <c r="J366" i="5"/>
  <c r="C366" i="5"/>
  <c r="T365" i="5"/>
  <c r="S365" i="5"/>
  <c r="P365" i="5"/>
  <c r="O365" i="5"/>
  <c r="J365" i="5"/>
  <c r="C365" i="5"/>
  <c r="T364" i="5"/>
  <c r="S364" i="5"/>
  <c r="P364" i="5"/>
  <c r="O364" i="5"/>
  <c r="J364" i="5"/>
  <c r="C364" i="5"/>
  <c r="T363" i="5"/>
  <c r="S363" i="5"/>
  <c r="P363" i="5"/>
  <c r="O363" i="5"/>
  <c r="J363" i="5"/>
  <c r="C363" i="5"/>
  <c r="T362" i="5"/>
  <c r="S362" i="5"/>
  <c r="P362" i="5"/>
  <c r="O362" i="5"/>
  <c r="J362" i="5"/>
  <c r="C362" i="5"/>
  <c r="T361" i="5"/>
  <c r="S361" i="5"/>
  <c r="P361" i="5"/>
  <c r="O361" i="5"/>
  <c r="J361" i="5"/>
  <c r="C361" i="5"/>
  <c r="T360" i="5"/>
  <c r="S360" i="5"/>
  <c r="P360" i="5"/>
  <c r="O360" i="5"/>
  <c r="J360" i="5"/>
  <c r="C360" i="5"/>
  <c r="T359" i="5"/>
  <c r="S359" i="5"/>
  <c r="P359" i="5"/>
  <c r="O359" i="5"/>
  <c r="J359" i="5"/>
  <c r="C359" i="5"/>
  <c r="T358" i="5"/>
  <c r="S358" i="5"/>
  <c r="P358" i="5"/>
  <c r="O358" i="5"/>
  <c r="J358" i="5"/>
  <c r="C358" i="5"/>
  <c r="T357" i="5"/>
  <c r="S357" i="5"/>
  <c r="P357" i="5"/>
  <c r="O357" i="5"/>
  <c r="J357" i="5"/>
  <c r="C357" i="5"/>
  <c r="T356" i="5"/>
  <c r="S356" i="5"/>
  <c r="P356" i="5"/>
  <c r="O356" i="5"/>
  <c r="J356" i="5"/>
  <c r="C356" i="5"/>
  <c r="T355" i="5"/>
  <c r="S355" i="5"/>
  <c r="P355" i="5"/>
  <c r="O355" i="5"/>
  <c r="J355" i="5"/>
  <c r="C355" i="5"/>
  <c r="T354" i="5"/>
  <c r="S354" i="5"/>
  <c r="P354" i="5"/>
  <c r="O354" i="5"/>
  <c r="J354" i="5"/>
  <c r="C354" i="5"/>
  <c r="T353" i="5"/>
  <c r="S353" i="5"/>
  <c r="P353" i="5"/>
  <c r="O353" i="5"/>
  <c r="J353" i="5"/>
  <c r="C353" i="5"/>
  <c r="T352" i="5"/>
  <c r="S352" i="5"/>
  <c r="P352" i="5"/>
  <c r="O352" i="5"/>
  <c r="J352" i="5"/>
  <c r="C352" i="5"/>
  <c r="T351" i="5"/>
  <c r="S351" i="5"/>
  <c r="P351" i="5"/>
  <c r="O351" i="5"/>
  <c r="J351" i="5"/>
  <c r="C351" i="5"/>
  <c r="T350" i="5"/>
  <c r="S350" i="5"/>
  <c r="P350" i="5"/>
  <c r="O350" i="5"/>
  <c r="J350" i="5"/>
  <c r="C350" i="5"/>
  <c r="T349" i="5"/>
  <c r="S349" i="5"/>
  <c r="P349" i="5"/>
  <c r="O349" i="5"/>
  <c r="J349" i="5"/>
  <c r="C349" i="5"/>
  <c r="T348" i="5"/>
  <c r="S348" i="5"/>
  <c r="P348" i="5"/>
  <c r="O348" i="5"/>
  <c r="J348" i="5"/>
  <c r="C348" i="5"/>
  <c r="T347" i="5"/>
  <c r="S347" i="5"/>
  <c r="P347" i="5"/>
  <c r="O347" i="5"/>
  <c r="J347" i="5"/>
  <c r="C347" i="5"/>
  <c r="T346" i="5"/>
  <c r="S346" i="5"/>
  <c r="P346" i="5"/>
  <c r="O346" i="5"/>
  <c r="J346" i="5"/>
  <c r="C346" i="5"/>
  <c r="T345" i="5"/>
  <c r="S345" i="5"/>
  <c r="P345" i="5"/>
  <c r="O345" i="5"/>
  <c r="J345" i="5"/>
  <c r="C345" i="5"/>
  <c r="T344" i="5"/>
  <c r="S344" i="5"/>
  <c r="P344" i="5"/>
  <c r="O344" i="5"/>
  <c r="J344" i="5"/>
  <c r="C344" i="5"/>
  <c r="T343" i="5"/>
  <c r="S343" i="5"/>
  <c r="P343" i="5"/>
  <c r="O343" i="5"/>
  <c r="J343" i="5"/>
  <c r="C343" i="5"/>
  <c r="T342" i="5"/>
  <c r="S342" i="5"/>
  <c r="P342" i="5"/>
  <c r="O342" i="5"/>
  <c r="J342" i="5"/>
  <c r="C342" i="5"/>
  <c r="T341" i="5"/>
  <c r="S341" i="5"/>
  <c r="P341" i="5"/>
  <c r="O341" i="5"/>
  <c r="J341" i="5"/>
  <c r="C341" i="5"/>
  <c r="T340" i="5"/>
  <c r="S340" i="5"/>
  <c r="P340" i="5"/>
  <c r="O340" i="5"/>
  <c r="J340" i="5"/>
  <c r="C340" i="5"/>
  <c r="T339" i="5"/>
  <c r="S339" i="5"/>
  <c r="P339" i="5"/>
  <c r="O339" i="5"/>
  <c r="J339" i="5"/>
  <c r="C339" i="5"/>
  <c r="T338" i="5"/>
  <c r="S338" i="5"/>
  <c r="P338" i="5"/>
  <c r="O338" i="5"/>
  <c r="J338" i="5"/>
  <c r="C338" i="5"/>
  <c r="T337" i="5"/>
  <c r="S337" i="5"/>
  <c r="P337" i="5"/>
  <c r="O337" i="5"/>
  <c r="J337" i="5"/>
  <c r="C337" i="5"/>
  <c r="T336" i="5"/>
  <c r="S336" i="5"/>
  <c r="P336" i="5"/>
  <c r="O336" i="5"/>
  <c r="J336" i="5"/>
  <c r="C336" i="5"/>
  <c r="T335" i="5"/>
  <c r="S335" i="5"/>
  <c r="P335" i="5"/>
  <c r="O335" i="5"/>
  <c r="J335" i="5"/>
  <c r="C335" i="5"/>
  <c r="T334" i="5"/>
  <c r="S334" i="5"/>
  <c r="P334" i="5"/>
  <c r="O334" i="5"/>
  <c r="J334" i="5"/>
  <c r="C334" i="5"/>
  <c r="T333" i="5"/>
  <c r="S333" i="5"/>
  <c r="P333" i="5"/>
  <c r="O333" i="5"/>
  <c r="J333" i="5"/>
  <c r="C333" i="5"/>
  <c r="T332" i="5"/>
  <c r="S332" i="5"/>
  <c r="P332" i="5"/>
  <c r="O332" i="5"/>
  <c r="J332" i="5"/>
  <c r="C332" i="5"/>
  <c r="T331" i="5"/>
  <c r="S331" i="5"/>
  <c r="P331" i="5"/>
  <c r="O331" i="5"/>
  <c r="J331" i="5"/>
  <c r="C331" i="5"/>
  <c r="T330" i="5"/>
  <c r="S330" i="5"/>
  <c r="P330" i="5"/>
  <c r="O330" i="5"/>
  <c r="J330" i="5"/>
  <c r="C330" i="5"/>
  <c r="T329" i="5"/>
  <c r="S329" i="5"/>
  <c r="P329" i="5"/>
  <c r="O329" i="5"/>
  <c r="J329" i="5"/>
  <c r="C329" i="5"/>
  <c r="T328" i="5"/>
  <c r="S328" i="5"/>
  <c r="P328" i="5"/>
  <c r="O328" i="5"/>
  <c r="J328" i="5"/>
  <c r="C328" i="5"/>
  <c r="T327" i="5"/>
  <c r="S327" i="5"/>
  <c r="P327" i="5"/>
  <c r="O327" i="5"/>
  <c r="J327" i="5"/>
  <c r="C327" i="5"/>
  <c r="T326" i="5"/>
  <c r="S326" i="5"/>
  <c r="P326" i="5"/>
  <c r="O326" i="5"/>
  <c r="J326" i="5"/>
  <c r="C326" i="5"/>
  <c r="T325" i="5"/>
  <c r="S325" i="5"/>
  <c r="P325" i="5"/>
  <c r="O325" i="5"/>
  <c r="J325" i="5"/>
  <c r="C325" i="5"/>
  <c r="T324" i="5"/>
  <c r="S324" i="5"/>
  <c r="P324" i="5"/>
  <c r="O324" i="5"/>
  <c r="J324" i="5"/>
  <c r="C324" i="5"/>
  <c r="T323" i="5"/>
  <c r="S323" i="5"/>
  <c r="P323" i="5"/>
  <c r="O323" i="5"/>
  <c r="J323" i="5"/>
  <c r="C323" i="5"/>
  <c r="T322" i="5"/>
  <c r="S322" i="5"/>
  <c r="P322" i="5"/>
  <c r="O322" i="5"/>
  <c r="J322" i="5"/>
  <c r="C322" i="5"/>
  <c r="T321" i="5"/>
  <c r="S321" i="5"/>
  <c r="P321" i="5"/>
  <c r="O321" i="5"/>
  <c r="J321" i="5"/>
  <c r="C321" i="5"/>
  <c r="T320" i="5"/>
  <c r="S320" i="5"/>
  <c r="P320" i="5"/>
  <c r="O320" i="5"/>
  <c r="J320" i="5"/>
  <c r="C320" i="5"/>
  <c r="T319" i="5"/>
  <c r="S319" i="5"/>
  <c r="P319" i="5"/>
  <c r="O319" i="5"/>
  <c r="J319" i="5"/>
  <c r="C319" i="5"/>
  <c r="T318" i="5"/>
  <c r="S318" i="5"/>
  <c r="P318" i="5"/>
  <c r="O318" i="5"/>
  <c r="J318" i="5"/>
  <c r="C318" i="5"/>
  <c r="T317" i="5"/>
  <c r="S317" i="5"/>
  <c r="P317" i="5"/>
  <c r="O317" i="5"/>
  <c r="J317" i="5"/>
  <c r="C317" i="5"/>
  <c r="T316" i="5"/>
  <c r="S316" i="5"/>
  <c r="P316" i="5"/>
  <c r="O316" i="5"/>
  <c r="J316" i="5"/>
  <c r="C316" i="5"/>
  <c r="T315" i="5"/>
  <c r="S315" i="5"/>
  <c r="P315" i="5"/>
  <c r="O315" i="5"/>
  <c r="J315" i="5"/>
  <c r="C315" i="5"/>
  <c r="T314" i="5"/>
  <c r="S314" i="5"/>
  <c r="P314" i="5"/>
  <c r="O314" i="5"/>
  <c r="J314" i="5"/>
  <c r="C314" i="5"/>
  <c r="T313" i="5"/>
  <c r="S313" i="5"/>
  <c r="P313" i="5"/>
  <c r="O313" i="5"/>
  <c r="J313" i="5"/>
  <c r="C313" i="5"/>
  <c r="T312" i="5"/>
  <c r="S312" i="5"/>
  <c r="P312" i="5"/>
  <c r="O312" i="5"/>
  <c r="J312" i="5"/>
  <c r="C312" i="5"/>
  <c r="T311" i="5"/>
  <c r="S311" i="5"/>
  <c r="P311" i="5"/>
  <c r="O311" i="5"/>
  <c r="J311" i="5"/>
  <c r="C311" i="5"/>
  <c r="T310" i="5"/>
  <c r="S310" i="5"/>
  <c r="P310" i="5"/>
  <c r="O310" i="5"/>
  <c r="J310" i="5"/>
  <c r="C310" i="5"/>
  <c r="T309" i="5"/>
  <c r="S309" i="5"/>
  <c r="P309" i="5"/>
  <c r="O309" i="5"/>
  <c r="J309" i="5"/>
  <c r="C309" i="5"/>
  <c r="T308" i="5"/>
  <c r="S308" i="5"/>
  <c r="P308" i="5"/>
  <c r="O308" i="5"/>
  <c r="J308" i="5"/>
  <c r="C308" i="5"/>
  <c r="T307" i="5"/>
  <c r="S307" i="5"/>
  <c r="P307" i="5"/>
  <c r="O307" i="5"/>
  <c r="J307" i="5"/>
  <c r="C307" i="5"/>
  <c r="T306" i="5"/>
  <c r="S306" i="5"/>
  <c r="P306" i="5"/>
  <c r="O306" i="5"/>
  <c r="J306" i="5"/>
  <c r="C306" i="5"/>
  <c r="T305" i="5"/>
  <c r="S305" i="5"/>
  <c r="P305" i="5"/>
  <c r="O305" i="5"/>
  <c r="J305" i="5"/>
  <c r="C305" i="5"/>
  <c r="T304" i="5"/>
  <c r="S304" i="5"/>
  <c r="P304" i="5"/>
  <c r="O304" i="5"/>
  <c r="J304" i="5"/>
  <c r="C304" i="5"/>
  <c r="T303" i="5"/>
  <c r="S303" i="5"/>
  <c r="P303" i="5"/>
  <c r="O303" i="5"/>
  <c r="J303" i="5"/>
  <c r="C303" i="5"/>
  <c r="T302" i="5"/>
  <c r="S302" i="5"/>
  <c r="P302" i="5"/>
  <c r="O302" i="5"/>
  <c r="J302" i="5"/>
  <c r="C302" i="5"/>
  <c r="T301" i="5"/>
  <c r="S301" i="5"/>
  <c r="P301" i="5"/>
  <c r="O301" i="5"/>
  <c r="J301" i="5"/>
  <c r="C301" i="5"/>
  <c r="T300" i="5"/>
  <c r="S300" i="5"/>
  <c r="P300" i="5"/>
  <c r="O300" i="5"/>
  <c r="J300" i="5"/>
  <c r="C300" i="5"/>
  <c r="T299" i="5"/>
  <c r="S299" i="5"/>
  <c r="P299" i="5"/>
  <c r="O299" i="5"/>
  <c r="J299" i="5"/>
  <c r="C299" i="5"/>
  <c r="T298" i="5"/>
  <c r="S298" i="5"/>
  <c r="P298" i="5"/>
  <c r="O298" i="5"/>
  <c r="J298" i="5"/>
  <c r="C298" i="5"/>
  <c r="T297" i="5"/>
  <c r="S297" i="5"/>
  <c r="P297" i="5"/>
  <c r="O297" i="5"/>
  <c r="J297" i="5"/>
  <c r="C297" i="5"/>
  <c r="T296" i="5"/>
  <c r="S296" i="5"/>
  <c r="P296" i="5"/>
  <c r="O296" i="5"/>
  <c r="J296" i="5"/>
  <c r="C296" i="5"/>
  <c r="T295" i="5"/>
  <c r="S295" i="5"/>
  <c r="P295" i="5"/>
  <c r="O295" i="5"/>
  <c r="J295" i="5"/>
  <c r="C295" i="5"/>
  <c r="T294" i="5"/>
  <c r="S294" i="5"/>
  <c r="P294" i="5"/>
  <c r="O294" i="5"/>
  <c r="J294" i="5"/>
  <c r="C294" i="5"/>
  <c r="T293" i="5"/>
  <c r="S293" i="5"/>
  <c r="P293" i="5"/>
  <c r="O293" i="5"/>
  <c r="J293" i="5"/>
  <c r="C293" i="5"/>
  <c r="T292" i="5"/>
  <c r="S292" i="5"/>
  <c r="P292" i="5"/>
  <c r="O292" i="5"/>
  <c r="J292" i="5"/>
  <c r="C292" i="5"/>
  <c r="T291" i="5"/>
  <c r="S291" i="5"/>
  <c r="P291" i="5"/>
  <c r="O291" i="5"/>
  <c r="J291" i="5"/>
  <c r="C291" i="5"/>
  <c r="T290" i="5"/>
  <c r="S290" i="5"/>
  <c r="P290" i="5"/>
  <c r="O290" i="5"/>
  <c r="J290" i="5"/>
  <c r="C290" i="5"/>
  <c r="T289" i="5"/>
  <c r="S289" i="5"/>
  <c r="P289" i="5"/>
  <c r="O289" i="5"/>
  <c r="J289" i="5"/>
  <c r="C289" i="5"/>
  <c r="T288" i="5"/>
  <c r="S288" i="5"/>
  <c r="P288" i="5"/>
  <c r="O288" i="5"/>
  <c r="J288" i="5"/>
  <c r="C288" i="5"/>
  <c r="T287" i="5"/>
  <c r="S287" i="5"/>
  <c r="P287" i="5"/>
  <c r="O287" i="5"/>
  <c r="J287" i="5"/>
  <c r="C287" i="5"/>
  <c r="T286" i="5"/>
  <c r="S286" i="5"/>
  <c r="P286" i="5"/>
  <c r="O286" i="5"/>
  <c r="J286" i="5"/>
  <c r="C286" i="5"/>
  <c r="T285" i="5"/>
  <c r="S285" i="5"/>
  <c r="P285" i="5"/>
  <c r="O285" i="5"/>
  <c r="J285" i="5"/>
  <c r="C285" i="5"/>
  <c r="T284" i="5"/>
  <c r="S284" i="5"/>
  <c r="P284" i="5"/>
  <c r="O284" i="5"/>
  <c r="J284" i="5"/>
  <c r="C284" i="5"/>
  <c r="T283" i="5"/>
  <c r="S283" i="5"/>
  <c r="P283" i="5"/>
  <c r="O283" i="5"/>
  <c r="J283" i="5"/>
  <c r="C283" i="5"/>
  <c r="T282" i="5"/>
  <c r="S282" i="5"/>
  <c r="P282" i="5"/>
  <c r="O282" i="5"/>
  <c r="J282" i="5"/>
  <c r="C282" i="5"/>
  <c r="T281" i="5"/>
  <c r="S281" i="5"/>
  <c r="P281" i="5"/>
  <c r="O281" i="5"/>
  <c r="J281" i="5"/>
  <c r="C281" i="5"/>
  <c r="T280" i="5"/>
  <c r="S280" i="5"/>
  <c r="P280" i="5"/>
  <c r="O280" i="5"/>
  <c r="J280" i="5"/>
  <c r="C280" i="5"/>
  <c r="T279" i="5"/>
  <c r="S279" i="5"/>
  <c r="P279" i="5"/>
  <c r="O279" i="5"/>
  <c r="J279" i="5"/>
  <c r="C279" i="5"/>
  <c r="T278" i="5"/>
  <c r="S278" i="5"/>
  <c r="P278" i="5"/>
  <c r="O278" i="5"/>
  <c r="J278" i="5"/>
  <c r="C278" i="5"/>
  <c r="T277" i="5"/>
  <c r="S277" i="5"/>
  <c r="P277" i="5"/>
  <c r="O277" i="5"/>
  <c r="J277" i="5"/>
  <c r="C277" i="5"/>
  <c r="T276" i="5"/>
  <c r="S276" i="5"/>
  <c r="P276" i="5"/>
  <c r="O276" i="5"/>
  <c r="J276" i="5"/>
  <c r="C276" i="5"/>
  <c r="T275" i="5"/>
  <c r="S275" i="5"/>
  <c r="P275" i="5"/>
  <c r="O275" i="5"/>
  <c r="J275" i="5"/>
  <c r="C275" i="5"/>
  <c r="T274" i="5"/>
  <c r="S274" i="5"/>
  <c r="P274" i="5"/>
  <c r="O274" i="5"/>
  <c r="J274" i="5"/>
  <c r="C274" i="5"/>
  <c r="T273" i="5"/>
  <c r="S273" i="5"/>
  <c r="P273" i="5"/>
  <c r="O273" i="5"/>
  <c r="J273" i="5"/>
  <c r="C273" i="5"/>
  <c r="T272" i="5"/>
  <c r="S272" i="5"/>
  <c r="P272" i="5"/>
  <c r="O272" i="5"/>
  <c r="J272" i="5"/>
  <c r="C272" i="5"/>
  <c r="T271" i="5"/>
  <c r="S271" i="5"/>
  <c r="P271" i="5"/>
  <c r="O271" i="5"/>
  <c r="J271" i="5"/>
  <c r="C271" i="5"/>
  <c r="T270" i="5"/>
  <c r="S270" i="5"/>
  <c r="P270" i="5"/>
  <c r="O270" i="5"/>
  <c r="J270" i="5"/>
  <c r="C270" i="5"/>
  <c r="T269" i="5"/>
  <c r="S269" i="5"/>
  <c r="P269" i="5"/>
  <c r="O269" i="5"/>
  <c r="J269" i="5"/>
  <c r="C269" i="5"/>
  <c r="T268" i="5"/>
  <c r="S268" i="5"/>
  <c r="P268" i="5"/>
  <c r="O268" i="5"/>
  <c r="J268" i="5"/>
  <c r="C268" i="5"/>
  <c r="T267" i="5"/>
  <c r="S267" i="5"/>
  <c r="P267" i="5"/>
  <c r="O267" i="5"/>
  <c r="J267" i="5"/>
  <c r="C267" i="5"/>
  <c r="T266" i="5"/>
  <c r="S266" i="5"/>
  <c r="P266" i="5"/>
  <c r="O266" i="5"/>
  <c r="J266" i="5"/>
  <c r="C266" i="5"/>
  <c r="T265" i="5"/>
  <c r="S265" i="5"/>
  <c r="P265" i="5"/>
  <c r="O265" i="5"/>
  <c r="J265" i="5"/>
  <c r="C265" i="5"/>
  <c r="T264" i="5"/>
  <c r="S264" i="5"/>
  <c r="P264" i="5"/>
  <c r="O264" i="5"/>
  <c r="J264" i="5"/>
  <c r="C264" i="5"/>
  <c r="T263" i="5"/>
  <c r="S263" i="5"/>
  <c r="P263" i="5"/>
  <c r="O263" i="5"/>
  <c r="J263" i="5"/>
  <c r="C263" i="5"/>
  <c r="T262" i="5"/>
  <c r="S262" i="5"/>
  <c r="P262" i="5"/>
  <c r="O262" i="5"/>
  <c r="J262" i="5"/>
  <c r="C262" i="5"/>
  <c r="T261" i="5"/>
  <c r="S261" i="5"/>
  <c r="P261" i="5"/>
  <c r="O261" i="5"/>
  <c r="J261" i="5"/>
  <c r="C261" i="5"/>
  <c r="T260" i="5"/>
  <c r="S260" i="5"/>
  <c r="P260" i="5"/>
  <c r="O260" i="5"/>
  <c r="J260" i="5"/>
  <c r="C260" i="5"/>
  <c r="T259" i="5"/>
  <c r="S259" i="5"/>
  <c r="P259" i="5"/>
  <c r="O259" i="5"/>
  <c r="J259" i="5"/>
  <c r="C259" i="5"/>
  <c r="T258" i="5"/>
  <c r="S258" i="5"/>
  <c r="P258" i="5"/>
  <c r="O258" i="5"/>
  <c r="J258" i="5"/>
  <c r="C258" i="5"/>
  <c r="T257" i="5"/>
  <c r="S257" i="5"/>
  <c r="P257" i="5"/>
  <c r="O257" i="5"/>
  <c r="J257" i="5"/>
  <c r="C257" i="5"/>
  <c r="T256" i="5"/>
  <c r="S256" i="5"/>
  <c r="P256" i="5"/>
  <c r="O256" i="5"/>
  <c r="J256" i="5"/>
  <c r="C256" i="5"/>
  <c r="T255" i="5"/>
  <c r="S255" i="5"/>
  <c r="P255" i="5"/>
  <c r="O255" i="5"/>
  <c r="J255" i="5"/>
  <c r="C255" i="5"/>
  <c r="T254" i="5"/>
  <c r="S254" i="5"/>
  <c r="P254" i="5"/>
  <c r="O254" i="5"/>
  <c r="J254" i="5"/>
  <c r="C254" i="5"/>
  <c r="T253" i="5"/>
  <c r="S253" i="5"/>
  <c r="P253" i="5"/>
  <c r="O253" i="5"/>
  <c r="J253" i="5"/>
  <c r="C253" i="5"/>
  <c r="T252" i="5"/>
  <c r="S252" i="5"/>
  <c r="P252" i="5"/>
  <c r="O252" i="5"/>
  <c r="J252" i="5"/>
  <c r="C252" i="5"/>
  <c r="T251" i="5"/>
  <c r="S251" i="5"/>
  <c r="P251" i="5"/>
  <c r="O251" i="5"/>
  <c r="J251" i="5"/>
  <c r="C251" i="5"/>
  <c r="T250" i="5"/>
  <c r="S250" i="5"/>
  <c r="P250" i="5"/>
  <c r="O250" i="5"/>
  <c r="J250" i="5"/>
  <c r="C250" i="5"/>
  <c r="T249" i="5"/>
  <c r="S249" i="5"/>
  <c r="P249" i="5"/>
  <c r="O249" i="5"/>
  <c r="J249" i="5"/>
  <c r="C249" i="5"/>
  <c r="T248" i="5"/>
  <c r="S248" i="5"/>
  <c r="P248" i="5"/>
  <c r="O248" i="5"/>
  <c r="J248" i="5"/>
  <c r="C248" i="5"/>
  <c r="T247" i="5"/>
  <c r="S247" i="5"/>
  <c r="P247" i="5"/>
  <c r="O247" i="5"/>
  <c r="J247" i="5"/>
  <c r="C247" i="5"/>
  <c r="T246" i="5"/>
  <c r="S246" i="5"/>
  <c r="P246" i="5"/>
  <c r="O246" i="5"/>
  <c r="J246" i="5"/>
  <c r="C246" i="5"/>
  <c r="T245" i="5"/>
  <c r="S245" i="5"/>
  <c r="P245" i="5"/>
  <c r="O245" i="5"/>
  <c r="J245" i="5"/>
  <c r="C245" i="5"/>
  <c r="T244" i="5"/>
  <c r="S244" i="5"/>
  <c r="P244" i="5"/>
  <c r="O244" i="5"/>
  <c r="J244" i="5"/>
  <c r="C244" i="5"/>
  <c r="T243" i="5"/>
  <c r="S243" i="5"/>
  <c r="P243" i="5"/>
  <c r="O243" i="5"/>
  <c r="J243" i="5"/>
  <c r="C243" i="5"/>
  <c r="T242" i="5"/>
  <c r="S242" i="5"/>
  <c r="P242" i="5"/>
  <c r="O242" i="5"/>
  <c r="J242" i="5"/>
  <c r="C242" i="5"/>
  <c r="T241" i="5"/>
  <c r="S241" i="5"/>
  <c r="P241" i="5"/>
  <c r="O241" i="5"/>
  <c r="J241" i="5"/>
  <c r="C241" i="5"/>
  <c r="T240" i="5"/>
  <c r="S240" i="5"/>
  <c r="P240" i="5"/>
  <c r="O240" i="5"/>
  <c r="J240" i="5"/>
  <c r="C240" i="5"/>
  <c r="T239" i="5"/>
  <c r="S239" i="5"/>
  <c r="P239" i="5"/>
  <c r="O239" i="5"/>
  <c r="J239" i="5"/>
  <c r="C239" i="5"/>
  <c r="T238" i="5"/>
  <c r="S238" i="5"/>
  <c r="P238" i="5"/>
  <c r="O238" i="5"/>
  <c r="J238" i="5"/>
  <c r="C238" i="5"/>
  <c r="T237" i="5"/>
  <c r="S237" i="5"/>
  <c r="P237" i="5"/>
  <c r="O237" i="5"/>
  <c r="J237" i="5"/>
  <c r="C237" i="5"/>
  <c r="T236" i="5"/>
  <c r="S236" i="5"/>
  <c r="P236" i="5"/>
  <c r="O236" i="5"/>
  <c r="J236" i="5"/>
  <c r="C236" i="5"/>
  <c r="T235" i="5"/>
  <c r="S235" i="5"/>
  <c r="P235" i="5"/>
  <c r="O235" i="5"/>
  <c r="J235" i="5"/>
  <c r="C235" i="5"/>
  <c r="T234" i="5"/>
  <c r="S234" i="5"/>
  <c r="P234" i="5"/>
  <c r="O234" i="5"/>
  <c r="J234" i="5"/>
  <c r="C234" i="5"/>
  <c r="T233" i="5"/>
  <c r="S233" i="5"/>
  <c r="P233" i="5"/>
  <c r="O233" i="5"/>
  <c r="J233" i="5"/>
  <c r="C233" i="5"/>
  <c r="T232" i="5"/>
  <c r="S232" i="5"/>
  <c r="P232" i="5"/>
  <c r="O232" i="5"/>
  <c r="J232" i="5"/>
  <c r="C232" i="5"/>
  <c r="T231" i="5"/>
  <c r="S231" i="5"/>
  <c r="P231" i="5"/>
  <c r="O231" i="5"/>
  <c r="J231" i="5"/>
  <c r="C231" i="5"/>
  <c r="T230" i="5"/>
  <c r="S230" i="5"/>
  <c r="P230" i="5"/>
  <c r="O230" i="5"/>
  <c r="J230" i="5"/>
  <c r="C230" i="5"/>
  <c r="T229" i="5"/>
  <c r="S229" i="5"/>
  <c r="P229" i="5"/>
  <c r="O229" i="5"/>
  <c r="J229" i="5"/>
  <c r="C229" i="5"/>
  <c r="T228" i="5"/>
  <c r="S228" i="5"/>
  <c r="P228" i="5"/>
  <c r="O228" i="5"/>
  <c r="J228" i="5"/>
  <c r="C228" i="5"/>
  <c r="T227" i="5"/>
  <c r="S227" i="5"/>
  <c r="P227" i="5"/>
  <c r="O227" i="5"/>
  <c r="J227" i="5"/>
  <c r="C227" i="5"/>
  <c r="T226" i="5"/>
  <c r="S226" i="5"/>
  <c r="P226" i="5"/>
  <c r="O226" i="5"/>
  <c r="J226" i="5"/>
  <c r="C226" i="5"/>
  <c r="T225" i="5"/>
  <c r="S225" i="5"/>
  <c r="P225" i="5"/>
  <c r="O225" i="5"/>
  <c r="J225" i="5"/>
  <c r="C225" i="5"/>
  <c r="T224" i="5"/>
  <c r="S224" i="5"/>
  <c r="P224" i="5"/>
  <c r="O224" i="5"/>
  <c r="J224" i="5"/>
  <c r="C224" i="5"/>
  <c r="T223" i="5"/>
  <c r="S223" i="5"/>
  <c r="P223" i="5"/>
  <c r="O223" i="5"/>
  <c r="J223" i="5"/>
  <c r="C223" i="5"/>
  <c r="T222" i="5"/>
  <c r="S222" i="5"/>
  <c r="P222" i="5"/>
  <c r="O222" i="5"/>
  <c r="J222" i="5"/>
  <c r="C222" i="5"/>
  <c r="T221" i="5"/>
  <c r="S221" i="5"/>
  <c r="P221" i="5"/>
  <c r="O221" i="5"/>
  <c r="J221" i="5"/>
  <c r="C221" i="5"/>
  <c r="T220" i="5"/>
  <c r="S220" i="5"/>
  <c r="P220" i="5"/>
  <c r="O220" i="5"/>
  <c r="J220" i="5"/>
  <c r="C220" i="5"/>
  <c r="T219" i="5"/>
  <c r="S219" i="5"/>
  <c r="P219" i="5"/>
  <c r="O219" i="5"/>
  <c r="J219" i="5"/>
  <c r="C219" i="5"/>
  <c r="T218" i="5"/>
  <c r="S218" i="5"/>
  <c r="P218" i="5"/>
  <c r="O218" i="5"/>
  <c r="J218" i="5"/>
  <c r="C218" i="5"/>
  <c r="T217" i="5"/>
  <c r="S217" i="5"/>
  <c r="P217" i="5"/>
  <c r="O217" i="5"/>
  <c r="J217" i="5"/>
  <c r="C217" i="5"/>
  <c r="T216" i="5"/>
  <c r="S216" i="5"/>
  <c r="P216" i="5"/>
  <c r="O216" i="5"/>
  <c r="J216" i="5"/>
  <c r="C216" i="5"/>
  <c r="T215" i="5"/>
  <c r="S215" i="5"/>
  <c r="P215" i="5"/>
  <c r="O215" i="5"/>
  <c r="J215" i="5"/>
  <c r="C215" i="5"/>
  <c r="T214" i="5"/>
  <c r="S214" i="5"/>
  <c r="P214" i="5"/>
  <c r="O214" i="5"/>
  <c r="J214" i="5"/>
  <c r="C214" i="5"/>
  <c r="T213" i="5"/>
  <c r="S213" i="5"/>
  <c r="P213" i="5"/>
  <c r="O213" i="5"/>
  <c r="J213" i="5"/>
  <c r="C213" i="5"/>
  <c r="T212" i="5"/>
  <c r="S212" i="5"/>
  <c r="P212" i="5"/>
  <c r="O212" i="5"/>
  <c r="J212" i="5"/>
  <c r="C212" i="5"/>
  <c r="T211" i="5"/>
  <c r="S211" i="5"/>
  <c r="P211" i="5"/>
  <c r="O211" i="5"/>
  <c r="J211" i="5"/>
  <c r="C211" i="5"/>
  <c r="T210" i="5"/>
  <c r="S210" i="5"/>
  <c r="P210" i="5"/>
  <c r="O210" i="5"/>
  <c r="J210" i="5"/>
  <c r="C210" i="5"/>
  <c r="T209" i="5"/>
  <c r="S209" i="5"/>
  <c r="P209" i="5"/>
  <c r="O209" i="5"/>
  <c r="J209" i="5"/>
  <c r="C209" i="5"/>
  <c r="T208" i="5"/>
  <c r="S208" i="5"/>
  <c r="P208" i="5"/>
  <c r="O208" i="5"/>
  <c r="J208" i="5"/>
  <c r="C208" i="5"/>
  <c r="T207" i="5"/>
  <c r="S207" i="5"/>
  <c r="P207" i="5"/>
  <c r="O207" i="5"/>
  <c r="J207" i="5"/>
  <c r="C207" i="5"/>
  <c r="T206" i="5"/>
  <c r="S206" i="5"/>
  <c r="P206" i="5"/>
  <c r="O206" i="5"/>
  <c r="J206" i="5"/>
  <c r="C206" i="5"/>
  <c r="T205" i="5"/>
  <c r="S205" i="5"/>
  <c r="P205" i="5"/>
  <c r="O205" i="5"/>
  <c r="J205" i="5"/>
  <c r="C205" i="5"/>
  <c r="T204" i="5"/>
  <c r="S204" i="5"/>
  <c r="P204" i="5"/>
  <c r="O204" i="5"/>
  <c r="J204" i="5"/>
  <c r="C204" i="5"/>
  <c r="T203" i="5"/>
  <c r="S203" i="5"/>
  <c r="P203" i="5"/>
  <c r="O203" i="5"/>
  <c r="J203" i="5"/>
  <c r="C203" i="5"/>
  <c r="T202" i="5"/>
  <c r="S202" i="5"/>
  <c r="P202" i="5"/>
  <c r="O202" i="5"/>
  <c r="J202" i="5"/>
  <c r="C202" i="5"/>
  <c r="T201" i="5"/>
  <c r="S201" i="5"/>
  <c r="P201" i="5"/>
  <c r="O201" i="5"/>
  <c r="J201" i="5"/>
  <c r="C201" i="5"/>
  <c r="T200" i="5"/>
  <c r="S200" i="5"/>
  <c r="P200" i="5"/>
  <c r="O200" i="5"/>
  <c r="J200" i="5"/>
  <c r="C200" i="5"/>
  <c r="T199" i="5"/>
  <c r="S199" i="5"/>
  <c r="P199" i="5"/>
  <c r="O199" i="5"/>
  <c r="J199" i="5"/>
  <c r="C199" i="5"/>
  <c r="T198" i="5"/>
  <c r="S198" i="5"/>
  <c r="P198" i="5"/>
  <c r="O198" i="5"/>
  <c r="J198" i="5"/>
  <c r="C198" i="5"/>
  <c r="T197" i="5"/>
  <c r="S197" i="5"/>
  <c r="P197" i="5"/>
  <c r="O197" i="5"/>
  <c r="J197" i="5"/>
  <c r="C197" i="5"/>
  <c r="T196" i="5"/>
  <c r="S196" i="5"/>
  <c r="P196" i="5"/>
  <c r="O196" i="5"/>
  <c r="J196" i="5"/>
  <c r="C196" i="5"/>
  <c r="T195" i="5"/>
  <c r="S195" i="5"/>
  <c r="P195" i="5"/>
  <c r="O195" i="5"/>
  <c r="J195" i="5"/>
  <c r="C195" i="5"/>
  <c r="T194" i="5"/>
  <c r="S194" i="5"/>
  <c r="P194" i="5"/>
  <c r="O194" i="5"/>
  <c r="J194" i="5"/>
  <c r="C194" i="5"/>
  <c r="T193" i="5"/>
  <c r="S193" i="5"/>
  <c r="P193" i="5"/>
  <c r="O193" i="5"/>
  <c r="J193" i="5"/>
  <c r="C193" i="5"/>
  <c r="T192" i="5"/>
  <c r="S192" i="5"/>
  <c r="P192" i="5"/>
  <c r="O192" i="5"/>
  <c r="J192" i="5"/>
  <c r="C192" i="5"/>
  <c r="T191" i="5"/>
  <c r="S191" i="5"/>
  <c r="P191" i="5"/>
  <c r="O191" i="5"/>
  <c r="J191" i="5"/>
  <c r="C191" i="5"/>
  <c r="T190" i="5"/>
  <c r="S190" i="5"/>
  <c r="P190" i="5"/>
  <c r="O190" i="5"/>
  <c r="J190" i="5"/>
  <c r="C190" i="5"/>
  <c r="T189" i="5"/>
  <c r="S189" i="5"/>
  <c r="P189" i="5"/>
  <c r="O189" i="5"/>
  <c r="J189" i="5"/>
  <c r="C189" i="5"/>
  <c r="T188" i="5"/>
  <c r="S188" i="5"/>
  <c r="P188" i="5"/>
  <c r="O188" i="5"/>
  <c r="J188" i="5"/>
  <c r="C188" i="5"/>
  <c r="T187" i="5"/>
  <c r="S187" i="5"/>
  <c r="P187" i="5"/>
  <c r="O187" i="5"/>
  <c r="J187" i="5"/>
  <c r="C187" i="5"/>
  <c r="T186" i="5"/>
  <c r="S186" i="5"/>
  <c r="P186" i="5"/>
  <c r="O186" i="5"/>
  <c r="J186" i="5"/>
  <c r="C186" i="5"/>
  <c r="T185" i="5"/>
  <c r="S185" i="5"/>
  <c r="P185" i="5"/>
  <c r="O185" i="5"/>
  <c r="J185" i="5"/>
  <c r="C185" i="5"/>
  <c r="T184" i="5"/>
  <c r="S184" i="5"/>
  <c r="P184" i="5"/>
  <c r="O184" i="5"/>
  <c r="J184" i="5"/>
  <c r="C184" i="5"/>
  <c r="T183" i="5"/>
  <c r="S183" i="5"/>
  <c r="P183" i="5"/>
  <c r="O183" i="5"/>
  <c r="J183" i="5"/>
  <c r="C183" i="5"/>
  <c r="T182" i="5"/>
  <c r="S182" i="5"/>
  <c r="P182" i="5"/>
  <c r="O182" i="5"/>
  <c r="J182" i="5"/>
  <c r="C182" i="5"/>
  <c r="T181" i="5"/>
  <c r="S181" i="5"/>
  <c r="P181" i="5"/>
  <c r="O181" i="5"/>
  <c r="J181" i="5"/>
  <c r="C181" i="5"/>
  <c r="T180" i="5"/>
  <c r="S180" i="5"/>
  <c r="P180" i="5"/>
  <c r="O180" i="5"/>
  <c r="J180" i="5"/>
  <c r="C180" i="5"/>
  <c r="T179" i="5"/>
  <c r="S179" i="5"/>
  <c r="P179" i="5"/>
  <c r="O179" i="5"/>
  <c r="J179" i="5"/>
  <c r="C179" i="5"/>
  <c r="T178" i="5"/>
  <c r="S178" i="5"/>
  <c r="P178" i="5"/>
  <c r="O178" i="5"/>
  <c r="J178" i="5"/>
  <c r="C178" i="5"/>
  <c r="T177" i="5"/>
  <c r="S177" i="5"/>
  <c r="P177" i="5"/>
  <c r="O177" i="5"/>
  <c r="J177" i="5"/>
  <c r="C177" i="5"/>
  <c r="T176" i="5"/>
  <c r="S176" i="5"/>
  <c r="P176" i="5"/>
  <c r="O176" i="5"/>
  <c r="J176" i="5"/>
  <c r="C176" i="5"/>
  <c r="T175" i="5"/>
  <c r="S175" i="5"/>
  <c r="P175" i="5"/>
  <c r="O175" i="5"/>
  <c r="J175" i="5"/>
  <c r="C175" i="5"/>
  <c r="T174" i="5"/>
  <c r="S174" i="5"/>
  <c r="P174" i="5"/>
  <c r="O174" i="5"/>
  <c r="J174" i="5"/>
  <c r="C174" i="5"/>
  <c r="T173" i="5"/>
  <c r="S173" i="5"/>
  <c r="P173" i="5"/>
  <c r="O173" i="5"/>
  <c r="J173" i="5"/>
  <c r="C173" i="5"/>
  <c r="T172" i="5"/>
  <c r="S172" i="5"/>
  <c r="P172" i="5"/>
  <c r="O172" i="5"/>
  <c r="J172" i="5"/>
  <c r="C172" i="5"/>
  <c r="T171" i="5"/>
  <c r="S171" i="5"/>
  <c r="P171" i="5"/>
  <c r="O171" i="5"/>
  <c r="J171" i="5"/>
  <c r="C171" i="5"/>
  <c r="T170" i="5"/>
  <c r="S170" i="5"/>
  <c r="P170" i="5"/>
  <c r="O170" i="5"/>
  <c r="J170" i="5"/>
  <c r="C170" i="5"/>
  <c r="T169" i="5"/>
  <c r="S169" i="5"/>
  <c r="P169" i="5"/>
  <c r="O169" i="5"/>
  <c r="J169" i="5"/>
  <c r="C169" i="5"/>
  <c r="T168" i="5"/>
  <c r="S168" i="5"/>
  <c r="P168" i="5"/>
  <c r="O168" i="5"/>
  <c r="J168" i="5"/>
  <c r="C168" i="5"/>
  <c r="T167" i="5"/>
  <c r="S167" i="5"/>
  <c r="P167" i="5"/>
  <c r="O167" i="5"/>
  <c r="J167" i="5"/>
  <c r="C167" i="5"/>
  <c r="T166" i="5"/>
  <c r="S166" i="5"/>
  <c r="P166" i="5"/>
  <c r="O166" i="5"/>
  <c r="J166" i="5"/>
  <c r="C166" i="5"/>
  <c r="T165" i="5"/>
  <c r="S165" i="5"/>
  <c r="P165" i="5"/>
  <c r="O165" i="5"/>
  <c r="J165" i="5"/>
  <c r="C165" i="5"/>
  <c r="T164" i="5"/>
  <c r="S164" i="5"/>
  <c r="P164" i="5"/>
  <c r="O164" i="5"/>
  <c r="J164" i="5"/>
  <c r="C164" i="5"/>
  <c r="T163" i="5"/>
  <c r="S163" i="5"/>
  <c r="P163" i="5"/>
  <c r="O163" i="5"/>
  <c r="J163" i="5"/>
  <c r="C163" i="5"/>
  <c r="T162" i="5"/>
  <c r="S162" i="5"/>
  <c r="P162" i="5"/>
  <c r="O162" i="5"/>
  <c r="J162" i="5"/>
  <c r="C162" i="5"/>
  <c r="T161" i="5"/>
  <c r="S161" i="5"/>
  <c r="P161" i="5"/>
  <c r="O161" i="5"/>
  <c r="J161" i="5"/>
  <c r="C161" i="5"/>
  <c r="T160" i="5"/>
  <c r="S160" i="5"/>
  <c r="P160" i="5"/>
  <c r="O160" i="5"/>
  <c r="J160" i="5"/>
  <c r="C160" i="5"/>
  <c r="T159" i="5"/>
  <c r="S159" i="5"/>
  <c r="P159" i="5"/>
  <c r="O159" i="5"/>
  <c r="J159" i="5"/>
  <c r="C159" i="5"/>
  <c r="T158" i="5"/>
  <c r="S158" i="5"/>
  <c r="P158" i="5"/>
  <c r="O158" i="5"/>
  <c r="J158" i="5"/>
  <c r="C158" i="5"/>
  <c r="T157" i="5"/>
  <c r="S157" i="5"/>
  <c r="P157" i="5"/>
  <c r="O157" i="5"/>
  <c r="J157" i="5"/>
  <c r="C157" i="5"/>
  <c r="T156" i="5"/>
  <c r="S156" i="5"/>
  <c r="P156" i="5"/>
  <c r="O156" i="5"/>
  <c r="J156" i="5"/>
  <c r="C156" i="5"/>
  <c r="T155" i="5"/>
  <c r="S155" i="5"/>
  <c r="P155" i="5"/>
  <c r="O155" i="5"/>
  <c r="J155" i="5"/>
  <c r="C155" i="5"/>
  <c r="T154" i="5"/>
  <c r="S154" i="5"/>
  <c r="P154" i="5"/>
  <c r="O154" i="5"/>
  <c r="J154" i="5"/>
  <c r="C154" i="5"/>
  <c r="T153" i="5"/>
  <c r="S153" i="5"/>
  <c r="P153" i="5"/>
  <c r="O153" i="5"/>
  <c r="J153" i="5"/>
  <c r="C153" i="5"/>
  <c r="T152" i="5"/>
  <c r="S152" i="5"/>
  <c r="P152" i="5"/>
  <c r="O152" i="5"/>
  <c r="J152" i="5"/>
  <c r="C152" i="5"/>
  <c r="T151" i="5"/>
  <c r="S151" i="5"/>
  <c r="P151" i="5"/>
  <c r="O151" i="5"/>
  <c r="J151" i="5"/>
  <c r="C151" i="5"/>
  <c r="T150" i="5"/>
  <c r="S150" i="5"/>
  <c r="P150" i="5"/>
  <c r="O150" i="5"/>
  <c r="J150" i="5"/>
  <c r="C150" i="5"/>
  <c r="T149" i="5"/>
  <c r="S149" i="5"/>
  <c r="P149" i="5"/>
  <c r="O149" i="5"/>
  <c r="J149" i="5"/>
  <c r="C149" i="5"/>
  <c r="T148" i="5"/>
  <c r="S148" i="5"/>
  <c r="P148" i="5"/>
  <c r="O148" i="5"/>
  <c r="J148" i="5"/>
  <c r="C148" i="5"/>
  <c r="T147" i="5"/>
  <c r="S147" i="5"/>
  <c r="P147" i="5"/>
  <c r="O147" i="5"/>
  <c r="J147" i="5"/>
  <c r="C147" i="5"/>
  <c r="T146" i="5"/>
  <c r="S146" i="5"/>
  <c r="P146" i="5"/>
  <c r="O146" i="5"/>
  <c r="J146" i="5"/>
  <c r="C146" i="5"/>
  <c r="T145" i="5"/>
  <c r="S145" i="5"/>
  <c r="P145" i="5"/>
  <c r="O145" i="5"/>
  <c r="J145" i="5"/>
  <c r="C145" i="5"/>
  <c r="T144" i="5"/>
  <c r="S144" i="5"/>
  <c r="P144" i="5"/>
  <c r="O144" i="5"/>
  <c r="J144" i="5"/>
  <c r="C144" i="5"/>
  <c r="T143" i="5"/>
  <c r="S143" i="5"/>
  <c r="P143" i="5"/>
  <c r="O143" i="5"/>
  <c r="J143" i="5"/>
  <c r="C143" i="5"/>
  <c r="T142" i="5"/>
  <c r="S142" i="5"/>
  <c r="P142" i="5"/>
  <c r="O142" i="5"/>
  <c r="J142" i="5"/>
  <c r="C142" i="5"/>
  <c r="T141" i="5"/>
  <c r="S141" i="5"/>
  <c r="P141" i="5"/>
  <c r="O141" i="5"/>
  <c r="J141" i="5"/>
  <c r="C141" i="5"/>
  <c r="T140" i="5"/>
  <c r="S140" i="5"/>
  <c r="P140" i="5"/>
  <c r="O140" i="5"/>
  <c r="J140" i="5"/>
  <c r="C140" i="5"/>
  <c r="T139" i="5"/>
  <c r="S139" i="5"/>
  <c r="P139" i="5"/>
  <c r="O139" i="5"/>
  <c r="J139" i="5"/>
  <c r="C139" i="5"/>
  <c r="T138" i="5"/>
  <c r="S138" i="5"/>
  <c r="P138" i="5"/>
  <c r="O138" i="5"/>
  <c r="J138" i="5"/>
  <c r="C138" i="5"/>
  <c r="T137" i="5"/>
  <c r="S137" i="5"/>
  <c r="P137" i="5"/>
  <c r="O137" i="5"/>
  <c r="J137" i="5"/>
  <c r="C137" i="5"/>
  <c r="T136" i="5"/>
  <c r="S136" i="5"/>
  <c r="P136" i="5"/>
  <c r="O136" i="5"/>
  <c r="J136" i="5"/>
  <c r="C136" i="5"/>
  <c r="T135" i="5"/>
  <c r="S135" i="5"/>
  <c r="P135" i="5"/>
  <c r="O135" i="5"/>
  <c r="J135" i="5"/>
  <c r="C135" i="5"/>
  <c r="T134" i="5"/>
  <c r="S134" i="5"/>
  <c r="P134" i="5"/>
  <c r="O134" i="5"/>
  <c r="J134" i="5"/>
  <c r="C134" i="5"/>
  <c r="T133" i="5"/>
  <c r="S133" i="5"/>
  <c r="P133" i="5"/>
  <c r="O133" i="5"/>
  <c r="J133" i="5"/>
  <c r="C133" i="5"/>
  <c r="T132" i="5"/>
  <c r="S132" i="5"/>
  <c r="P132" i="5"/>
  <c r="O132" i="5"/>
  <c r="J132" i="5"/>
  <c r="C132" i="5"/>
  <c r="T131" i="5"/>
  <c r="S131" i="5"/>
  <c r="P131" i="5"/>
  <c r="O131" i="5"/>
  <c r="J131" i="5"/>
  <c r="C131" i="5"/>
  <c r="T130" i="5"/>
  <c r="S130" i="5"/>
  <c r="P130" i="5"/>
  <c r="O130" i="5"/>
  <c r="J130" i="5"/>
  <c r="C130" i="5"/>
  <c r="T129" i="5"/>
  <c r="S129" i="5"/>
  <c r="P129" i="5"/>
  <c r="O129" i="5"/>
  <c r="J129" i="5"/>
  <c r="C129" i="5"/>
  <c r="T128" i="5"/>
  <c r="S128" i="5"/>
  <c r="P128" i="5"/>
  <c r="O128" i="5"/>
  <c r="J128" i="5"/>
  <c r="C128" i="5"/>
  <c r="T127" i="5"/>
  <c r="S127" i="5"/>
  <c r="P127" i="5"/>
  <c r="O127" i="5"/>
  <c r="J127" i="5"/>
  <c r="C127" i="5"/>
  <c r="T126" i="5"/>
  <c r="S126" i="5"/>
  <c r="P126" i="5"/>
  <c r="O126" i="5"/>
  <c r="J126" i="5"/>
  <c r="C126" i="5"/>
  <c r="T125" i="5"/>
  <c r="S125" i="5"/>
  <c r="P125" i="5"/>
  <c r="O125" i="5"/>
  <c r="J125" i="5"/>
  <c r="C125" i="5"/>
  <c r="T124" i="5"/>
  <c r="S124" i="5"/>
  <c r="P124" i="5"/>
  <c r="O124" i="5"/>
  <c r="J124" i="5"/>
  <c r="C124" i="5"/>
  <c r="T123" i="5"/>
  <c r="S123" i="5"/>
  <c r="P123" i="5"/>
  <c r="O123" i="5"/>
  <c r="J123" i="5"/>
  <c r="C123" i="5"/>
  <c r="T122" i="5"/>
  <c r="S122" i="5"/>
  <c r="P122" i="5"/>
  <c r="O122" i="5"/>
  <c r="J122" i="5"/>
  <c r="C122" i="5"/>
  <c r="T121" i="5"/>
  <c r="S121" i="5"/>
  <c r="P121" i="5"/>
  <c r="O121" i="5"/>
  <c r="J121" i="5"/>
  <c r="C121" i="5"/>
  <c r="T120" i="5"/>
  <c r="S120" i="5"/>
  <c r="P120" i="5"/>
  <c r="O120" i="5"/>
  <c r="J120" i="5"/>
  <c r="C120" i="5"/>
  <c r="T119" i="5"/>
  <c r="S119" i="5"/>
  <c r="P119" i="5"/>
  <c r="O119" i="5"/>
  <c r="J119" i="5"/>
  <c r="C119" i="5"/>
  <c r="T118" i="5"/>
  <c r="S118" i="5"/>
  <c r="P118" i="5"/>
  <c r="O118" i="5"/>
  <c r="J118" i="5"/>
  <c r="C118" i="5"/>
  <c r="T117" i="5"/>
  <c r="S117" i="5"/>
  <c r="P117" i="5"/>
  <c r="O117" i="5"/>
  <c r="J117" i="5"/>
  <c r="C117" i="5"/>
  <c r="T116" i="5"/>
  <c r="S116" i="5"/>
  <c r="P116" i="5"/>
  <c r="O116" i="5"/>
  <c r="J116" i="5"/>
  <c r="C116" i="5"/>
  <c r="T115" i="5"/>
  <c r="S115" i="5"/>
  <c r="P115" i="5"/>
  <c r="O115" i="5"/>
  <c r="J115" i="5"/>
  <c r="C115" i="5"/>
  <c r="T114" i="5"/>
  <c r="S114" i="5"/>
  <c r="P114" i="5"/>
  <c r="O114" i="5"/>
  <c r="J114" i="5"/>
  <c r="C114" i="5"/>
  <c r="T113" i="5"/>
  <c r="S113" i="5"/>
  <c r="P113" i="5"/>
  <c r="O113" i="5"/>
  <c r="J113" i="5"/>
  <c r="C113" i="5"/>
  <c r="T112" i="5"/>
  <c r="S112" i="5"/>
  <c r="P112" i="5"/>
  <c r="O112" i="5"/>
  <c r="J112" i="5"/>
  <c r="C112" i="5"/>
  <c r="T111" i="5"/>
  <c r="S111" i="5"/>
  <c r="P111" i="5"/>
  <c r="O111" i="5"/>
  <c r="J111" i="5"/>
  <c r="C111" i="5"/>
  <c r="T110" i="5"/>
  <c r="S110" i="5"/>
  <c r="P110" i="5"/>
  <c r="O110" i="5"/>
  <c r="J110" i="5"/>
  <c r="C110" i="5"/>
  <c r="T109" i="5"/>
  <c r="S109" i="5"/>
  <c r="P109" i="5"/>
  <c r="O109" i="5"/>
  <c r="J109" i="5"/>
  <c r="C109" i="5"/>
  <c r="T108" i="5"/>
  <c r="S108" i="5"/>
  <c r="P108" i="5"/>
  <c r="O108" i="5"/>
  <c r="J108" i="5"/>
  <c r="C108" i="5"/>
  <c r="T107" i="5"/>
  <c r="S107" i="5"/>
  <c r="P107" i="5"/>
  <c r="O107" i="5"/>
  <c r="J107" i="5"/>
  <c r="C107" i="5"/>
  <c r="T106" i="5"/>
  <c r="S106" i="5"/>
  <c r="P106" i="5"/>
  <c r="O106" i="5"/>
  <c r="J106" i="5"/>
  <c r="C106" i="5"/>
  <c r="T105" i="5"/>
  <c r="S105" i="5"/>
  <c r="P105" i="5"/>
  <c r="O105" i="5"/>
  <c r="J105" i="5"/>
  <c r="C105" i="5"/>
  <c r="T104" i="5"/>
  <c r="S104" i="5"/>
  <c r="P104" i="5"/>
  <c r="O104" i="5"/>
  <c r="J104" i="5"/>
  <c r="C104" i="5"/>
  <c r="T103" i="5"/>
  <c r="S103" i="5"/>
  <c r="P103" i="5"/>
  <c r="O103" i="5"/>
  <c r="J103" i="5"/>
  <c r="C103" i="5"/>
  <c r="T102" i="5"/>
  <c r="S102" i="5"/>
  <c r="P102" i="5"/>
  <c r="O102" i="5"/>
  <c r="J102" i="5"/>
  <c r="C102" i="5"/>
  <c r="T101" i="5"/>
  <c r="S101" i="5"/>
  <c r="P101" i="5"/>
  <c r="O101" i="5"/>
  <c r="J101" i="5"/>
  <c r="C101" i="5"/>
  <c r="T100" i="5"/>
  <c r="S100" i="5"/>
  <c r="P100" i="5"/>
  <c r="O100" i="5"/>
  <c r="J100" i="5"/>
  <c r="C100" i="5"/>
  <c r="T99" i="5"/>
  <c r="S99" i="5"/>
  <c r="P99" i="5"/>
  <c r="O99" i="5"/>
  <c r="J99" i="5"/>
  <c r="C99" i="5"/>
  <c r="T98" i="5"/>
  <c r="S98" i="5"/>
  <c r="P98" i="5"/>
  <c r="O98" i="5"/>
  <c r="J98" i="5"/>
  <c r="C98" i="5"/>
  <c r="T97" i="5"/>
  <c r="S97" i="5"/>
  <c r="P97" i="5"/>
  <c r="O97" i="5"/>
  <c r="J97" i="5"/>
  <c r="C97" i="5"/>
  <c r="T96" i="5"/>
  <c r="S96" i="5"/>
  <c r="P96" i="5"/>
  <c r="O96" i="5"/>
  <c r="J96" i="5"/>
  <c r="C96" i="5"/>
  <c r="T95" i="5"/>
  <c r="S95" i="5"/>
  <c r="P95" i="5"/>
  <c r="O95" i="5"/>
  <c r="J95" i="5"/>
  <c r="C95" i="5"/>
  <c r="T94" i="5"/>
  <c r="S94" i="5"/>
  <c r="P94" i="5"/>
  <c r="O94" i="5"/>
  <c r="J94" i="5"/>
  <c r="C94" i="5"/>
  <c r="T93" i="5"/>
  <c r="S93" i="5"/>
  <c r="P93" i="5"/>
  <c r="O93" i="5"/>
  <c r="J93" i="5"/>
  <c r="C93" i="5"/>
  <c r="T92" i="5"/>
  <c r="S92" i="5"/>
  <c r="P92" i="5"/>
  <c r="O92" i="5"/>
  <c r="J92" i="5"/>
  <c r="C92" i="5"/>
  <c r="T91" i="5"/>
  <c r="S91" i="5"/>
  <c r="P91" i="5"/>
  <c r="O91" i="5"/>
  <c r="J91" i="5"/>
  <c r="C91" i="5"/>
  <c r="T90" i="5"/>
  <c r="S90" i="5"/>
  <c r="P90" i="5"/>
  <c r="O90" i="5"/>
  <c r="J90" i="5"/>
  <c r="C90" i="5"/>
  <c r="T89" i="5"/>
  <c r="S89" i="5"/>
  <c r="P89" i="5"/>
  <c r="O89" i="5"/>
  <c r="J89" i="5"/>
  <c r="C89" i="5"/>
  <c r="T88" i="5"/>
  <c r="S88" i="5"/>
  <c r="P88" i="5"/>
  <c r="O88" i="5"/>
  <c r="J88" i="5"/>
  <c r="C88" i="5"/>
  <c r="T87" i="5"/>
  <c r="S87" i="5"/>
  <c r="P87" i="5"/>
  <c r="O87" i="5"/>
  <c r="J87" i="5"/>
  <c r="C87" i="5"/>
  <c r="T86" i="5"/>
  <c r="S86" i="5"/>
  <c r="P86" i="5"/>
  <c r="O86" i="5"/>
  <c r="J86" i="5"/>
  <c r="C86" i="5"/>
  <c r="T85" i="5"/>
  <c r="S85" i="5"/>
  <c r="P85" i="5"/>
  <c r="O85" i="5"/>
  <c r="J85" i="5"/>
  <c r="C85" i="5"/>
  <c r="T84" i="5"/>
  <c r="S84" i="5"/>
  <c r="P84" i="5"/>
  <c r="O84" i="5"/>
  <c r="J84" i="5"/>
  <c r="C84" i="5"/>
  <c r="T83" i="5"/>
  <c r="S83" i="5"/>
  <c r="P83" i="5"/>
  <c r="O83" i="5"/>
  <c r="J83" i="5"/>
  <c r="C83" i="5"/>
  <c r="T82" i="5"/>
  <c r="S82" i="5"/>
  <c r="P82" i="5"/>
  <c r="O82" i="5"/>
  <c r="J82" i="5"/>
  <c r="C82" i="5"/>
  <c r="T81" i="5"/>
  <c r="S81" i="5"/>
  <c r="P81" i="5"/>
  <c r="O81" i="5"/>
  <c r="J81" i="5"/>
  <c r="C81" i="5"/>
  <c r="T80" i="5"/>
  <c r="S80" i="5"/>
  <c r="P80" i="5"/>
  <c r="O80" i="5"/>
  <c r="J80" i="5"/>
  <c r="C80" i="5"/>
  <c r="T79" i="5"/>
  <c r="S79" i="5"/>
  <c r="P79" i="5"/>
  <c r="O79" i="5"/>
  <c r="J79" i="5"/>
  <c r="C79" i="5"/>
  <c r="T78" i="5"/>
  <c r="S78" i="5"/>
  <c r="P78" i="5"/>
  <c r="O78" i="5"/>
  <c r="J78" i="5"/>
  <c r="C78" i="5"/>
  <c r="T77" i="5"/>
  <c r="S77" i="5"/>
  <c r="P77" i="5"/>
  <c r="O77" i="5"/>
  <c r="J77" i="5"/>
  <c r="C77" i="5"/>
  <c r="T76" i="5"/>
  <c r="S76" i="5"/>
  <c r="P76" i="5"/>
  <c r="O76" i="5"/>
  <c r="J76" i="5"/>
  <c r="C76" i="5"/>
  <c r="T75" i="5"/>
  <c r="S75" i="5"/>
  <c r="P75" i="5"/>
  <c r="O75" i="5"/>
  <c r="J75" i="5"/>
  <c r="C75" i="5"/>
  <c r="T74" i="5"/>
  <c r="S74" i="5"/>
  <c r="P74" i="5"/>
  <c r="O74" i="5"/>
  <c r="J74" i="5"/>
  <c r="C74" i="5"/>
  <c r="T73" i="5"/>
  <c r="S73" i="5"/>
  <c r="P73" i="5"/>
  <c r="O73" i="5"/>
  <c r="J73" i="5"/>
  <c r="C73" i="5"/>
  <c r="T72" i="5"/>
  <c r="S72" i="5"/>
  <c r="P72" i="5"/>
  <c r="O72" i="5"/>
  <c r="J72" i="5"/>
  <c r="C72" i="5"/>
  <c r="T71" i="5"/>
  <c r="S71" i="5"/>
  <c r="P71" i="5"/>
  <c r="O71" i="5"/>
  <c r="J71" i="5"/>
  <c r="C71" i="5"/>
  <c r="T70" i="5"/>
  <c r="S70" i="5"/>
  <c r="P70" i="5"/>
  <c r="O70" i="5"/>
  <c r="J70" i="5"/>
  <c r="C70" i="5"/>
  <c r="T69" i="5"/>
  <c r="S69" i="5"/>
  <c r="P69" i="5"/>
  <c r="O69" i="5"/>
  <c r="J69" i="5"/>
  <c r="C69" i="5"/>
  <c r="T68" i="5"/>
  <c r="S68" i="5"/>
  <c r="P68" i="5"/>
  <c r="O68" i="5"/>
  <c r="J68" i="5"/>
  <c r="C68" i="5"/>
  <c r="T67" i="5"/>
  <c r="S67" i="5"/>
  <c r="P67" i="5"/>
  <c r="O67" i="5"/>
  <c r="J67" i="5"/>
  <c r="C67" i="5"/>
  <c r="T66" i="5"/>
  <c r="S66" i="5"/>
  <c r="P66" i="5"/>
  <c r="O66" i="5"/>
  <c r="J66" i="5"/>
  <c r="C66" i="5"/>
  <c r="T65" i="5"/>
  <c r="S65" i="5"/>
  <c r="P65" i="5"/>
  <c r="O65" i="5"/>
  <c r="J65" i="5"/>
  <c r="C65" i="5"/>
  <c r="T64" i="5"/>
  <c r="S64" i="5"/>
  <c r="P64" i="5"/>
  <c r="O64" i="5"/>
  <c r="J64" i="5"/>
  <c r="C64" i="5"/>
  <c r="T63" i="5"/>
  <c r="S63" i="5"/>
  <c r="P63" i="5"/>
  <c r="O63" i="5"/>
  <c r="J63" i="5"/>
  <c r="C63" i="5"/>
  <c r="T62" i="5"/>
  <c r="S62" i="5"/>
  <c r="P62" i="5"/>
  <c r="O62" i="5"/>
  <c r="J62" i="5"/>
  <c r="C62" i="5"/>
  <c r="T61" i="5"/>
  <c r="S61" i="5"/>
  <c r="P61" i="5"/>
  <c r="O61" i="5"/>
  <c r="J61" i="5"/>
  <c r="C61" i="5"/>
  <c r="T60" i="5"/>
  <c r="S60" i="5"/>
  <c r="P60" i="5"/>
  <c r="O60" i="5"/>
  <c r="J60" i="5"/>
  <c r="C60" i="5"/>
  <c r="T59" i="5"/>
  <c r="S59" i="5"/>
  <c r="P59" i="5"/>
  <c r="O59" i="5"/>
  <c r="J59" i="5"/>
  <c r="C59" i="5"/>
  <c r="T58" i="5"/>
  <c r="S58" i="5"/>
  <c r="P58" i="5"/>
  <c r="O58" i="5"/>
  <c r="J58" i="5"/>
  <c r="C58" i="5"/>
  <c r="T57" i="5"/>
  <c r="S57" i="5"/>
  <c r="P57" i="5"/>
  <c r="O57" i="5"/>
  <c r="J57" i="5"/>
  <c r="C57" i="5"/>
  <c r="T56" i="5"/>
  <c r="S56" i="5"/>
  <c r="P56" i="5"/>
  <c r="O56" i="5"/>
  <c r="J56" i="5"/>
  <c r="C56" i="5"/>
  <c r="T55" i="5"/>
  <c r="S55" i="5"/>
  <c r="P55" i="5"/>
  <c r="O55" i="5"/>
  <c r="J55" i="5"/>
  <c r="C55" i="5"/>
  <c r="T54" i="5"/>
  <c r="S54" i="5"/>
  <c r="P54" i="5"/>
  <c r="O54" i="5"/>
  <c r="J54" i="5"/>
  <c r="C54" i="5"/>
  <c r="T53" i="5"/>
  <c r="S53" i="5"/>
  <c r="P53" i="5"/>
  <c r="O53" i="5"/>
  <c r="J53" i="5"/>
  <c r="C53" i="5"/>
  <c r="T52" i="5"/>
  <c r="S52" i="5"/>
  <c r="P52" i="5"/>
  <c r="O52" i="5"/>
  <c r="J52" i="5"/>
  <c r="C52" i="5"/>
  <c r="T51" i="5"/>
  <c r="S51" i="5"/>
  <c r="P51" i="5"/>
  <c r="O51" i="5"/>
  <c r="J51" i="5"/>
  <c r="C51" i="5"/>
  <c r="T50" i="5"/>
  <c r="S50" i="5"/>
  <c r="P50" i="5"/>
  <c r="O50" i="5"/>
  <c r="J50" i="5"/>
  <c r="C50" i="5"/>
  <c r="T49" i="5"/>
  <c r="S49" i="5"/>
  <c r="P49" i="5"/>
  <c r="O49" i="5"/>
  <c r="J49" i="5"/>
  <c r="C49" i="5"/>
  <c r="T48" i="5"/>
  <c r="S48" i="5"/>
  <c r="P48" i="5"/>
  <c r="O48" i="5"/>
  <c r="J48" i="5"/>
  <c r="C48" i="5"/>
  <c r="T47" i="5"/>
  <c r="S47" i="5"/>
  <c r="P47" i="5"/>
  <c r="O47" i="5"/>
  <c r="J47" i="5"/>
  <c r="C47" i="5"/>
  <c r="T46" i="5"/>
  <c r="S46" i="5"/>
  <c r="P46" i="5"/>
  <c r="O46" i="5"/>
  <c r="J46" i="5"/>
  <c r="C46" i="5"/>
  <c r="T45" i="5"/>
  <c r="S45" i="5"/>
  <c r="P45" i="5"/>
  <c r="O45" i="5"/>
  <c r="J45" i="5"/>
  <c r="C45" i="5"/>
  <c r="T44" i="5"/>
  <c r="S44" i="5"/>
  <c r="P44" i="5"/>
  <c r="O44" i="5"/>
  <c r="J44" i="5"/>
  <c r="C44" i="5"/>
  <c r="T43" i="5"/>
  <c r="S43" i="5"/>
  <c r="P43" i="5"/>
  <c r="O43" i="5"/>
  <c r="J43" i="5"/>
  <c r="C43" i="5"/>
  <c r="T42" i="5"/>
  <c r="S42" i="5"/>
  <c r="P42" i="5"/>
  <c r="O42" i="5"/>
  <c r="J42" i="5"/>
  <c r="C42" i="5"/>
  <c r="T41" i="5"/>
  <c r="S41" i="5"/>
  <c r="P41" i="5"/>
  <c r="O41" i="5"/>
  <c r="J41" i="5"/>
  <c r="C41" i="5"/>
  <c r="T40" i="5"/>
  <c r="S40" i="5"/>
  <c r="P40" i="5"/>
  <c r="O40" i="5"/>
  <c r="J40" i="5"/>
  <c r="C40" i="5"/>
  <c r="T39" i="5"/>
  <c r="S39" i="5"/>
  <c r="P39" i="5"/>
  <c r="O39" i="5"/>
  <c r="J39" i="5"/>
  <c r="C39" i="5"/>
  <c r="T38" i="5"/>
  <c r="S38" i="5"/>
  <c r="P38" i="5"/>
  <c r="O38" i="5"/>
  <c r="J38" i="5"/>
  <c r="C38" i="5"/>
  <c r="T37" i="5"/>
  <c r="S37" i="5"/>
  <c r="P37" i="5"/>
  <c r="O37" i="5"/>
  <c r="J37" i="5"/>
  <c r="C37" i="5"/>
  <c r="T36" i="5"/>
  <c r="S36" i="5"/>
  <c r="P36" i="5"/>
  <c r="O36" i="5"/>
  <c r="J36" i="5"/>
  <c r="C36" i="5"/>
  <c r="T35" i="5"/>
  <c r="S35" i="5"/>
  <c r="P35" i="5"/>
  <c r="O35" i="5"/>
  <c r="J35" i="5"/>
  <c r="C35" i="5"/>
  <c r="T34" i="5"/>
  <c r="S34" i="5"/>
  <c r="P34" i="5"/>
  <c r="O34" i="5"/>
  <c r="J34" i="5"/>
  <c r="C34" i="5"/>
  <c r="T33" i="5"/>
  <c r="S33" i="5"/>
  <c r="P33" i="5"/>
  <c r="O33" i="5"/>
  <c r="J33" i="5"/>
  <c r="C33" i="5"/>
  <c r="T32" i="5"/>
  <c r="S32" i="5"/>
  <c r="P32" i="5"/>
  <c r="O32" i="5"/>
  <c r="J32" i="5"/>
  <c r="C32" i="5"/>
  <c r="T31" i="5"/>
  <c r="S31" i="5"/>
  <c r="P31" i="5"/>
  <c r="O31" i="5"/>
  <c r="J31" i="5"/>
  <c r="C31" i="5"/>
  <c r="T30" i="5"/>
  <c r="S30" i="5"/>
  <c r="P30" i="5"/>
  <c r="O30" i="5"/>
  <c r="J30" i="5"/>
  <c r="C30" i="5"/>
  <c r="T29" i="5"/>
  <c r="S29" i="5"/>
  <c r="P29" i="5"/>
  <c r="O29" i="5"/>
  <c r="J29" i="5"/>
  <c r="C29" i="5"/>
  <c r="T28" i="5"/>
  <c r="S28" i="5"/>
  <c r="P28" i="5"/>
  <c r="O28" i="5"/>
  <c r="J28" i="5"/>
  <c r="C28" i="5"/>
  <c r="T27" i="5"/>
  <c r="S27" i="5"/>
  <c r="P27" i="5"/>
  <c r="O27" i="5"/>
  <c r="J27" i="5"/>
  <c r="C27" i="5"/>
  <c r="T26" i="5"/>
  <c r="S26" i="5"/>
  <c r="P26" i="5"/>
  <c r="O26" i="5"/>
  <c r="J26" i="5"/>
  <c r="C26" i="5"/>
  <c r="T25" i="5"/>
  <c r="S25" i="5"/>
  <c r="P25" i="5"/>
  <c r="O25" i="5"/>
  <c r="J25" i="5"/>
  <c r="C25" i="5"/>
  <c r="T24" i="5"/>
  <c r="S24" i="5"/>
  <c r="P24" i="5"/>
  <c r="O24" i="5"/>
  <c r="J24" i="5"/>
  <c r="C24" i="5"/>
  <c r="T23" i="5"/>
  <c r="S23" i="5"/>
  <c r="P23" i="5"/>
  <c r="O23" i="5"/>
  <c r="J23" i="5"/>
  <c r="C23" i="5"/>
  <c r="T22" i="5"/>
  <c r="S22" i="5"/>
  <c r="P22" i="5"/>
  <c r="O22" i="5"/>
  <c r="J22" i="5"/>
  <c r="C22" i="5"/>
  <c r="T21" i="5"/>
  <c r="S21" i="5"/>
  <c r="P21" i="5"/>
  <c r="O21" i="5"/>
  <c r="J21" i="5"/>
  <c r="C21" i="5"/>
  <c r="T20" i="5"/>
  <c r="S20" i="5"/>
  <c r="P20" i="5"/>
  <c r="O20" i="5"/>
  <c r="J20" i="5"/>
  <c r="C20" i="5"/>
  <c r="T19" i="5"/>
  <c r="S19" i="5"/>
  <c r="P19" i="5"/>
  <c r="O19" i="5"/>
  <c r="J19" i="5"/>
  <c r="C19" i="5"/>
  <c r="T18" i="5"/>
  <c r="S18" i="5"/>
  <c r="P18" i="5"/>
  <c r="O18" i="5"/>
  <c r="J18" i="5"/>
  <c r="C18" i="5"/>
  <c r="T17" i="5"/>
  <c r="S17" i="5"/>
  <c r="P17" i="5"/>
  <c r="O17" i="5"/>
  <c r="J17" i="5"/>
  <c r="C17" i="5"/>
  <c r="T16" i="5"/>
  <c r="S16" i="5"/>
  <c r="P16" i="5"/>
  <c r="O16" i="5"/>
  <c r="J16" i="5"/>
  <c r="C16" i="5"/>
  <c r="T15" i="5"/>
  <c r="S15" i="5"/>
  <c r="P15" i="5"/>
  <c r="O15" i="5"/>
  <c r="J15" i="5"/>
  <c r="C15" i="5"/>
  <c r="T14" i="5"/>
  <c r="S14" i="5"/>
  <c r="P14" i="5"/>
  <c r="O14" i="5"/>
  <c r="J14" i="5"/>
  <c r="C14" i="5"/>
  <c r="T13" i="5"/>
  <c r="S13" i="5"/>
  <c r="P13" i="5"/>
  <c r="O13" i="5"/>
  <c r="J13" i="5"/>
  <c r="C13" i="5"/>
  <c r="T12" i="5"/>
  <c r="S12" i="5"/>
  <c r="P12" i="5"/>
  <c r="O12" i="5"/>
  <c r="J12" i="5"/>
  <c r="C12" i="5"/>
  <c r="T11" i="5"/>
  <c r="S11" i="5"/>
  <c r="P11" i="5"/>
  <c r="O11" i="5"/>
  <c r="J11" i="5"/>
  <c r="C11" i="5"/>
  <c r="T10" i="5"/>
  <c r="S10" i="5"/>
  <c r="P10" i="5"/>
  <c r="O10" i="5"/>
  <c r="J10" i="5"/>
  <c r="C10" i="5"/>
  <c r="T9" i="5"/>
  <c r="S9" i="5"/>
  <c r="P9" i="5"/>
  <c r="O9" i="5"/>
  <c r="J9" i="5"/>
  <c r="C9" i="5"/>
  <c r="T8" i="5"/>
  <c r="S8" i="5"/>
  <c r="P8" i="5"/>
  <c r="O8" i="5"/>
  <c r="J8" i="5"/>
  <c r="C8" i="5"/>
  <c r="T7" i="5"/>
  <c r="S7" i="5"/>
  <c r="P7" i="5"/>
  <c r="O7" i="5"/>
  <c r="J7" i="5"/>
  <c r="C7" i="5"/>
  <c r="T6" i="5"/>
  <c r="S6" i="5"/>
  <c r="P6" i="5"/>
  <c r="O6" i="5"/>
  <c r="J6" i="5"/>
  <c r="C6" i="5"/>
  <c r="T5" i="5"/>
  <c r="S5" i="5"/>
  <c r="P5" i="5"/>
  <c r="O5" i="5"/>
  <c r="J5" i="5"/>
  <c r="C5" i="5"/>
  <c r="S4" i="5"/>
  <c r="O4" i="5"/>
  <c r="S6" i="3" s="1"/>
  <c r="J4" i="5"/>
  <c r="T4" i="5" s="1"/>
  <c r="C4" i="6"/>
  <c r="T3" i="5"/>
  <c r="S3" i="5"/>
  <c r="P3" i="5"/>
  <c r="E3" i="7" s="1"/>
  <c r="J3" i="5"/>
  <c r="O42" i="4"/>
  <c r="M42" i="4"/>
  <c r="L42" i="4"/>
  <c r="A42" i="4"/>
  <c r="O41" i="4"/>
  <c r="M41" i="4"/>
  <c r="L41" i="4"/>
  <c r="A41" i="4"/>
  <c r="O40" i="4"/>
  <c r="M40" i="4"/>
  <c r="L40" i="4"/>
  <c r="A40" i="4"/>
  <c r="O39" i="4"/>
  <c r="M39" i="4"/>
  <c r="L39" i="4"/>
  <c r="A39" i="4"/>
  <c r="O38" i="4"/>
  <c r="M38" i="4"/>
  <c r="L38" i="4"/>
  <c r="A38" i="4"/>
  <c r="O37" i="4"/>
  <c r="M37" i="4"/>
  <c r="L37" i="4"/>
  <c r="A37" i="4"/>
  <c r="O36" i="4"/>
  <c r="M36" i="4"/>
  <c r="L36" i="4"/>
  <c r="A36" i="4"/>
  <c r="O35" i="4"/>
  <c r="M35" i="4"/>
  <c r="L35" i="4"/>
  <c r="A35" i="4"/>
  <c r="O34" i="4"/>
  <c r="M34" i="4"/>
  <c r="L34" i="4"/>
  <c r="A34" i="4"/>
  <c r="O33" i="4"/>
  <c r="M33" i="4"/>
  <c r="L33" i="4"/>
  <c r="A33" i="4"/>
  <c r="O32" i="4"/>
  <c r="M32" i="4"/>
  <c r="L32" i="4"/>
  <c r="A32" i="4"/>
  <c r="O31" i="4"/>
  <c r="M31" i="4"/>
  <c r="L31" i="4"/>
  <c r="A31" i="4"/>
  <c r="O30" i="4"/>
  <c r="M30" i="4"/>
  <c r="L30" i="4"/>
  <c r="A30" i="4"/>
  <c r="O29" i="4"/>
  <c r="M29" i="4"/>
  <c r="L29" i="4"/>
  <c r="A29" i="4"/>
  <c r="O28" i="4"/>
  <c r="M28" i="4"/>
  <c r="L28" i="4"/>
  <c r="A28" i="4"/>
  <c r="O27" i="4"/>
  <c r="M27" i="4"/>
  <c r="L27" i="4"/>
  <c r="A27" i="4"/>
  <c r="O26" i="4"/>
  <c r="M26" i="4"/>
  <c r="L26" i="4"/>
  <c r="A26" i="4"/>
  <c r="O25" i="4"/>
  <c r="M25" i="4"/>
  <c r="L25" i="4"/>
  <c r="A25" i="4"/>
  <c r="O24" i="4"/>
  <c r="M24" i="4"/>
  <c r="L24" i="4"/>
  <c r="A24" i="4"/>
  <c r="O23" i="4"/>
  <c r="M23" i="4"/>
  <c r="L23" i="4"/>
  <c r="A23" i="4"/>
  <c r="O22" i="4"/>
  <c r="M22" i="4"/>
  <c r="L22" i="4"/>
  <c r="A22" i="4"/>
  <c r="O21" i="4"/>
  <c r="M21" i="4"/>
  <c r="L21" i="4"/>
  <c r="A21" i="4"/>
  <c r="O20" i="4"/>
  <c r="M20" i="4"/>
  <c r="L20" i="4"/>
  <c r="A20" i="4"/>
  <c r="O19" i="4"/>
  <c r="M19" i="4"/>
  <c r="L19" i="4"/>
  <c r="A19" i="4"/>
  <c r="O18" i="4"/>
  <c r="M18" i="4"/>
  <c r="L18" i="4"/>
  <c r="A18" i="4"/>
  <c r="O17" i="4"/>
  <c r="M17" i="4"/>
  <c r="L17" i="4"/>
  <c r="A17" i="4"/>
  <c r="O16" i="4"/>
  <c r="M16" i="4"/>
  <c r="L16" i="4"/>
  <c r="A16" i="4"/>
  <c r="O15" i="4"/>
  <c r="M15" i="4"/>
  <c r="L15" i="4"/>
  <c r="E8" i="12" s="1"/>
  <c r="A15" i="4"/>
  <c r="O14" i="4"/>
  <c r="M14" i="4"/>
  <c r="L14" i="4"/>
  <c r="A14" i="4"/>
  <c r="O13" i="4"/>
  <c r="M13" i="4"/>
  <c r="L13" i="4"/>
  <c r="A13" i="4"/>
  <c r="O12" i="4"/>
  <c r="M12" i="4"/>
  <c r="L12" i="4"/>
  <c r="A12" i="4"/>
  <c r="O11" i="4"/>
  <c r="M11" i="4"/>
  <c r="L11" i="4"/>
  <c r="A11" i="4"/>
  <c r="O10" i="4"/>
  <c r="M10" i="4"/>
  <c r="L10" i="4"/>
  <c r="J19" i="13" s="1"/>
  <c r="A10" i="4"/>
  <c r="O9" i="4"/>
  <c r="M9" i="4"/>
  <c r="L9" i="4"/>
  <c r="A9" i="4"/>
  <c r="O8" i="4"/>
  <c r="M8" i="4"/>
  <c r="L8" i="4"/>
  <c r="A8" i="4"/>
  <c r="O7" i="4"/>
  <c r="M7" i="4"/>
  <c r="L7" i="4"/>
  <c r="A7" i="4"/>
  <c r="O6" i="4"/>
  <c r="M6" i="4"/>
  <c r="L6" i="4"/>
  <c r="J15" i="13" s="1"/>
  <c r="A6" i="4"/>
  <c r="O5" i="4"/>
  <c r="M5" i="4"/>
  <c r="L5" i="4"/>
  <c r="A5" i="4"/>
  <c r="O4" i="4"/>
  <c r="M4" i="4"/>
  <c r="L4" i="4"/>
  <c r="A4" i="4"/>
  <c r="O3" i="4"/>
  <c r="M3" i="4"/>
  <c r="L3" i="4"/>
  <c r="A3" i="4"/>
  <c r="T99" i="3"/>
  <c r="S99" i="3"/>
  <c r="R99" i="3"/>
  <c r="Q99" i="3"/>
  <c r="P99" i="3"/>
  <c r="T98" i="3"/>
  <c r="S98" i="3"/>
  <c r="R98" i="3"/>
  <c r="Q98" i="3"/>
  <c r="P98" i="3"/>
  <c r="T97" i="3"/>
  <c r="S97" i="3"/>
  <c r="R97" i="3"/>
  <c r="Q97" i="3"/>
  <c r="P97" i="3"/>
  <c r="T96" i="3"/>
  <c r="S96" i="3"/>
  <c r="R96" i="3"/>
  <c r="Q96" i="3"/>
  <c r="P96" i="3"/>
  <c r="T95" i="3"/>
  <c r="S95" i="3"/>
  <c r="R95" i="3"/>
  <c r="Q95" i="3"/>
  <c r="P95" i="3"/>
  <c r="T94" i="3"/>
  <c r="S94" i="3"/>
  <c r="R94" i="3"/>
  <c r="Q94" i="3"/>
  <c r="P94" i="3"/>
  <c r="T93" i="3"/>
  <c r="S93" i="3"/>
  <c r="R93" i="3"/>
  <c r="Q93" i="3"/>
  <c r="P93" i="3"/>
  <c r="T92" i="3"/>
  <c r="S92" i="3"/>
  <c r="R92" i="3"/>
  <c r="Q92" i="3"/>
  <c r="P92" i="3"/>
  <c r="T91" i="3"/>
  <c r="S91" i="3"/>
  <c r="R91" i="3"/>
  <c r="Q91" i="3"/>
  <c r="P91" i="3"/>
  <c r="T90" i="3"/>
  <c r="S90" i="3"/>
  <c r="R90" i="3"/>
  <c r="Q90" i="3"/>
  <c r="P90" i="3"/>
  <c r="T89" i="3"/>
  <c r="S89" i="3"/>
  <c r="R89" i="3"/>
  <c r="Q89" i="3"/>
  <c r="P89" i="3"/>
  <c r="T88" i="3"/>
  <c r="S88" i="3"/>
  <c r="R88" i="3"/>
  <c r="Q88" i="3"/>
  <c r="P88" i="3"/>
  <c r="T87" i="3"/>
  <c r="S87" i="3"/>
  <c r="R87" i="3"/>
  <c r="Q87" i="3"/>
  <c r="P87" i="3"/>
  <c r="T86" i="3"/>
  <c r="S86" i="3"/>
  <c r="R86" i="3"/>
  <c r="Q86" i="3"/>
  <c r="P86" i="3"/>
  <c r="T85" i="3"/>
  <c r="S85" i="3"/>
  <c r="R85" i="3"/>
  <c r="Q85" i="3"/>
  <c r="P85" i="3"/>
  <c r="T84" i="3"/>
  <c r="S84" i="3"/>
  <c r="R84" i="3"/>
  <c r="Q84" i="3"/>
  <c r="P84" i="3"/>
  <c r="T83" i="3"/>
  <c r="S83" i="3"/>
  <c r="R83" i="3"/>
  <c r="Q83" i="3"/>
  <c r="P83" i="3"/>
  <c r="T82" i="3"/>
  <c r="S82" i="3"/>
  <c r="R82" i="3"/>
  <c r="Q82" i="3"/>
  <c r="P82" i="3"/>
  <c r="T81" i="3"/>
  <c r="S81" i="3"/>
  <c r="R81" i="3"/>
  <c r="Q81" i="3"/>
  <c r="P81" i="3"/>
  <c r="T80" i="3"/>
  <c r="S80" i="3"/>
  <c r="R80" i="3"/>
  <c r="Q80" i="3"/>
  <c r="P80" i="3"/>
  <c r="T79" i="3"/>
  <c r="S79" i="3"/>
  <c r="R79" i="3"/>
  <c r="Q79" i="3"/>
  <c r="P79" i="3"/>
  <c r="T78" i="3"/>
  <c r="S78" i="3"/>
  <c r="R78" i="3"/>
  <c r="Q78" i="3"/>
  <c r="P78" i="3"/>
  <c r="T77" i="3"/>
  <c r="S77" i="3"/>
  <c r="R77" i="3"/>
  <c r="Q77" i="3"/>
  <c r="P77" i="3"/>
  <c r="T76" i="3"/>
  <c r="S76" i="3"/>
  <c r="R76" i="3"/>
  <c r="Q76" i="3"/>
  <c r="P76" i="3"/>
  <c r="T75" i="3"/>
  <c r="S75" i="3"/>
  <c r="R75" i="3"/>
  <c r="Q75" i="3"/>
  <c r="P75" i="3"/>
  <c r="T74" i="3"/>
  <c r="S74" i="3"/>
  <c r="R74" i="3"/>
  <c r="Q74" i="3"/>
  <c r="P74" i="3"/>
  <c r="T73" i="3"/>
  <c r="S73" i="3"/>
  <c r="R73" i="3"/>
  <c r="Q73" i="3"/>
  <c r="P73" i="3"/>
  <c r="T72" i="3"/>
  <c r="S72" i="3"/>
  <c r="R72" i="3"/>
  <c r="Q72" i="3"/>
  <c r="P72" i="3"/>
  <c r="T71" i="3"/>
  <c r="S71" i="3"/>
  <c r="R71" i="3"/>
  <c r="Q71" i="3"/>
  <c r="P71" i="3"/>
  <c r="T70" i="3"/>
  <c r="S70" i="3"/>
  <c r="R70" i="3"/>
  <c r="Q70" i="3"/>
  <c r="P70" i="3"/>
  <c r="T69" i="3"/>
  <c r="S69" i="3"/>
  <c r="R69" i="3"/>
  <c r="Q69" i="3"/>
  <c r="P69" i="3"/>
  <c r="T68" i="3"/>
  <c r="S68" i="3"/>
  <c r="R68" i="3"/>
  <c r="Q68" i="3"/>
  <c r="P68" i="3"/>
  <c r="T67" i="3"/>
  <c r="S67" i="3"/>
  <c r="R67" i="3"/>
  <c r="Q67" i="3"/>
  <c r="P67" i="3"/>
  <c r="T66" i="3"/>
  <c r="S66" i="3"/>
  <c r="R66" i="3"/>
  <c r="Q66" i="3"/>
  <c r="P66" i="3"/>
  <c r="T65" i="3"/>
  <c r="S65" i="3"/>
  <c r="R65" i="3"/>
  <c r="Q65" i="3"/>
  <c r="P65" i="3"/>
  <c r="T64" i="3"/>
  <c r="S64" i="3"/>
  <c r="R64" i="3"/>
  <c r="Q64" i="3"/>
  <c r="P64" i="3"/>
  <c r="T63" i="3"/>
  <c r="S63" i="3"/>
  <c r="R63" i="3"/>
  <c r="Q63" i="3"/>
  <c r="P63" i="3"/>
  <c r="T62" i="3"/>
  <c r="S62" i="3"/>
  <c r="R62" i="3"/>
  <c r="Q62" i="3"/>
  <c r="P62" i="3"/>
  <c r="T61" i="3"/>
  <c r="S61" i="3"/>
  <c r="R61" i="3"/>
  <c r="Q61" i="3"/>
  <c r="P61" i="3"/>
  <c r="T60" i="3"/>
  <c r="S60" i="3"/>
  <c r="R60" i="3"/>
  <c r="Q60" i="3"/>
  <c r="P60" i="3"/>
  <c r="T59" i="3"/>
  <c r="S59" i="3"/>
  <c r="R59" i="3"/>
  <c r="Q59" i="3"/>
  <c r="P59" i="3"/>
  <c r="T58" i="3"/>
  <c r="S58" i="3"/>
  <c r="R58" i="3"/>
  <c r="Q58" i="3"/>
  <c r="P58" i="3"/>
  <c r="T57" i="3"/>
  <c r="S57" i="3"/>
  <c r="R57" i="3"/>
  <c r="Q57" i="3"/>
  <c r="P57" i="3"/>
  <c r="T56" i="3"/>
  <c r="S56" i="3"/>
  <c r="R56" i="3"/>
  <c r="Q56" i="3"/>
  <c r="P56" i="3"/>
  <c r="T55" i="3"/>
  <c r="S55" i="3"/>
  <c r="R55" i="3"/>
  <c r="Q55" i="3"/>
  <c r="P55" i="3"/>
  <c r="T54" i="3"/>
  <c r="S54" i="3"/>
  <c r="R54" i="3"/>
  <c r="Q54" i="3"/>
  <c r="P54" i="3"/>
  <c r="T53" i="3"/>
  <c r="S53" i="3"/>
  <c r="R53" i="3"/>
  <c r="Q53" i="3"/>
  <c r="P53" i="3"/>
  <c r="T52" i="3"/>
  <c r="S52" i="3"/>
  <c r="R52" i="3"/>
  <c r="Q52" i="3"/>
  <c r="P52" i="3"/>
  <c r="T51" i="3"/>
  <c r="S51" i="3"/>
  <c r="R51" i="3"/>
  <c r="Q51" i="3"/>
  <c r="P51" i="3"/>
  <c r="T50" i="3"/>
  <c r="S50" i="3"/>
  <c r="R50" i="3"/>
  <c r="Q50" i="3"/>
  <c r="P50" i="3"/>
  <c r="T49" i="3"/>
  <c r="S49" i="3"/>
  <c r="R49" i="3"/>
  <c r="Q49" i="3"/>
  <c r="P49" i="3"/>
  <c r="T48" i="3"/>
  <c r="S48" i="3"/>
  <c r="R48" i="3"/>
  <c r="Q48" i="3"/>
  <c r="P48" i="3"/>
  <c r="T47" i="3"/>
  <c r="S47" i="3"/>
  <c r="R47" i="3"/>
  <c r="Q47" i="3"/>
  <c r="P47" i="3"/>
  <c r="T46" i="3"/>
  <c r="S46" i="3"/>
  <c r="R46" i="3"/>
  <c r="Q46" i="3"/>
  <c r="P46" i="3"/>
  <c r="T45" i="3"/>
  <c r="S45" i="3"/>
  <c r="R45" i="3"/>
  <c r="Q45" i="3"/>
  <c r="P45" i="3"/>
  <c r="T44" i="3"/>
  <c r="S44" i="3"/>
  <c r="R44" i="3"/>
  <c r="Q44" i="3"/>
  <c r="P44" i="3"/>
  <c r="T43" i="3"/>
  <c r="S43" i="3"/>
  <c r="R43" i="3"/>
  <c r="Q43" i="3"/>
  <c r="P43" i="3"/>
  <c r="T42" i="3"/>
  <c r="S42" i="3"/>
  <c r="R42" i="3"/>
  <c r="Q42" i="3"/>
  <c r="P42" i="3"/>
  <c r="T41" i="3"/>
  <c r="S41" i="3"/>
  <c r="R41" i="3"/>
  <c r="Q41" i="3"/>
  <c r="P41" i="3"/>
  <c r="T40" i="3"/>
  <c r="S40" i="3"/>
  <c r="R40" i="3"/>
  <c r="Q40" i="3"/>
  <c r="P40" i="3"/>
  <c r="T39" i="3"/>
  <c r="S39" i="3"/>
  <c r="R39" i="3"/>
  <c r="Q39" i="3"/>
  <c r="P39" i="3"/>
  <c r="T38" i="3"/>
  <c r="S38" i="3"/>
  <c r="R38" i="3"/>
  <c r="Q38" i="3"/>
  <c r="P38" i="3"/>
  <c r="T37" i="3"/>
  <c r="S37" i="3"/>
  <c r="R37" i="3"/>
  <c r="Q37" i="3"/>
  <c r="P37" i="3"/>
  <c r="T36" i="3"/>
  <c r="S36" i="3"/>
  <c r="R36" i="3"/>
  <c r="Q36" i="3"/>
  <c r="P36" i="3"/>
  <c r="T35" i="3"/>
  <c r="S35" i="3"/>
  <c r="R35" i="3"/>
  <c r="Q35" i="3"/>
  <c r="P35" i="3"/>
  <c r="T34" i="3"/>
  <c r="S34" i="3"/>
  <c r="R34" i="3"/>
  <c r="Q34" i="3"/>
  <c r="P34" i="3"/>
  <c r="T33" i="3"/>
  <c r="S33" i="3"/>
  <c r="R33" i="3"/>
  <c r="Q33" i="3"/>
  <c r="P33" i="3"/>
  <c r="T32" i="3"/>
  <c r="S32" i="3"/>
  <c r="R32" i="3"/>
  <c r="Q32" i="3"/>
  <c r="P32" i="3"/>
  <c r="T31" i="3"/>
  <c r="S31" i="3"/>
  <c r="R31" i="3"/>
  <c r="Q31" i="3"/>
  <c r="P31" i="3"/>
  <c r="T30" i="3"/>
  <c r="S30" i="3"/>
  <c r="R30" i="3"/>
  <c r="Q30" i="3"/>
  <c r="P30" i="3"/>
  <c r="T29" i="3"/>
  <c r="S29" i="3"/>
  <c r="R29" i="3"/>
  <c r="Q29" i="3"/>
  <c r="P29" i="3"/>
  <c r="T28" i="3"/>
  <c r="S28" i="3"/>
  <c r="R28" i="3"/>
  <c r="Q28" i="3"/>
  <c r="P28" i="3"/>
  <c r="T27" i="3"/>
  <c r="S27" i="3"/>
  <c r="R27" i="3"/>
  <c r="Q27" i="3"/>
  <c r="P27" i="3"/>
  <c r="T26" i="3"/>
  <c r="S26" i="3"/>
  <c r="R26" i="3"/>
  <c r="Q26" i="3"/>
  <c r="P26" i="3"/>
  <c r="T25" i="3"/>
  <c r="S25" i="3"/>
  <c r="R25" i="3"/>
  <c r="Q25" i="3"/>
  <c r="P25" i="3"/>
  <c r="T24" i="3"/>
  <c r="S24" i="3"/>
  <c r="R24" i="3"/>
  <c r="Q24" i="3"/>
  <c r="P24" i="3"/>
  <c r="T23" i="3"/>
  <c r="S23" i="3"/>
  <c r="R23" i="3"/>
  <c r="Q23" i="3"/>
  <c r="P23" i="3"/>
  <c r="T22" i="3"/>
  <c r="S22" i="3"/>
  <c r="R22" i="3"/>
  <c r="Q22" i="3"/>
  <c r="P22" i="3"/>
  <c r="T21" i="3"/>
  <c r="S21" i="3"/>
  <c r="R21" i="3"/>
  <c r="Q21" i="3"/>
  <c r="P21" i="3"/>
  <c r="T20" i="3"/>
  <c r="S20" i="3"/>
  <c r="R20" i="3"/>
  <c r="Q20" i="3"/>
  <c r="P20" i="3"/>
  <c r="T19" i="3"/>
  <c r="S19" i="3"/>
  <c r="R19" i="3"/>
  <c r="Q19" i="3"/>
  <c r="P19" i="3"/>
  <c r="T18" i="3"/>
  <c r="S18" i="3"/>
  <c r="R18" i="3"/>
  <c r="Q18" i="3"/>
  <c r="P18" i="3"/>
  <c r="T17" i="3"/>
  <c r="S17" i="3"/>
  <c r="R17" i="3"/>
  <c r="Q17" i="3"/>
  <c r="P17" i="3"/>
  <c r="T16" i="3"/>
  <c r="S16" i="3"/>
  <c r="R16" i="3"/>
  <c r="Q16" i="3"/>
  <c r="P16" i="3"/>
  <c r="T15" i="3"/>
  <c r="S15" i="3"/>
  <c r="R15" i="3"/>
  <c r="Q15" i="3"/>
  <c r="P15" i="3"/>
  <c r="T14" i="3"/>
  <c r="S14" i="3"/>
  <c r="R14" i="3"/>
  <c r="Q14" i="3"/>
  <c r="P14" i="3"/>
  <c r="T13" i="3"/>
  <c r="S13" i="3"/>
  <c r="R13" i="3"/>
  <c r="Q13" i="3"/>
  <c r="P13" i="3"/>
  <c r="T12" i="3"/>
  <c r="S12" i="3"/>
  <c r="R12" i="3"/>
  <c r="Q12" i="3"/>
  <c r="P12" i="3"/>
  <c r="T11" i="3"/>
  <c r="S11" i="3"/>
  <c r="R11" i="3"/>
  <c r="Q11" i="3"/>
  <c r="P11" i="3"/>
  <c r="T10" i="3"/>
  <c r="S10" i="3"/>
  <c r="R10" i="3"/>
  <c r="Q10" i="3"/>
  <c r="P10" i="3"/>
  <c r="T9" i="3"/>
  <c r="S9" i="3"/>
  <c r="R9" i="3"/>
  <c r="Q9" i="3"/>
  <c r="P9" i="3"/>
  <c r="T8" i="3"/>
  <c r="S8" i="3"/>
  <c r="R8" i="3"/>
  <c r="Q8" i="3"/>
  <c r="P8" i="3"/>
  <c r="T7" i="3"/>
  <c r="S7" i="3"/>
  <c r="R7" i="3"/>
  <c r="Q7" i="3"/>
  <c r="P7" i="3"/>
  <c r="R6" i="3"/>
  <c r="Q6" i="3"/>
  <c r="P6" i="3"/>
  <c r="T6" i="3" s="1"/>
  <c r="S5" i="3"/>
  <c r="R5" i="3"/>
  <c r="Q5" i="3"/>
  <c r="P5" i="3"/>
  <c r="L5" i="3"/>
  <c r="K5" i="3"/>
  <c r="G5" i="3"/>
  <c r="S4" i="3"/>
  <c r="R4" i="3"/>
  <c r="Q4" i="3"/>
  <c r="P4" i="3"/>
  <c r="L4" i="3"/>
  <c r="K4" i="3"/>
  <c r="G4" i="3"/>
  <c r="S3" i="3"/>
  <c r="R3" i="3"/>
  <c r="Q3" i="3"/>
  <c r="P3" i="3"/>
  <c r="L3" i="3"/>
  <c r="K3" i="3"/>
  <c r="F9" i="13" s="1"/>
  <c r="J3" i="3"/>
  <c r="G3" i="3"/>
  <c r="E30" i="12" l="1"/>
  <c r="F38" i="12"/>
  <c r="E22" i="12"/>
  <c r="J31" i="13"/>
  <c r="J35" i="13"/>
  <c r="I7" i="3"/>
  <c r="M7" i="3" s="1"/>
  <c r="I6" i="3"/>
  <c r="M6" i="3" s="1"/>
  <c r="I3" i="3"/>
  <c r="D21" i="12"/>
  <c r="F22" i="12"/>
  <c r="D29" i="12"/>
  <c r="F30" i="12"/>
  <c r="D37" i="12"/>
  <c r="G21" i="12"/>
  <c r="G29" i="12"/>
  <c r="J37" i="12"/>
  <c r="K37" i="12" s="1"/>
  <c r="H19" i="12"/>
  <c r="G19" i="12"/>
  <c r="D19" i="12"/>
  <c r="H27" i="12"/>
  <c r="G27" i="12"/>
  <c r="D27" i="12"/>
  <c r="T3" i="3"/>
  <c r="T4" i="3"/>
  <c r="T5" i="3"/>
  <c r="E16" i="12"/>
  <c r="E24" i="12"/>
  <c r="E32" i="12"/>
  <c r="E37" i="12"/>
  <c r="I4" i="3"/>
  <c r="N4" i="3" s="1"/>
  <c r="I5" i="3"/>
  <c r="N5" i="3" s="1"/>
  <c r="F24" i="12"/>
  <c r="F32" i="12"/>
  <c r="F37" i="12"/>
  <c r="C13" i="8"/>
  <c r="I34" i="12"/>
  <c r="E34" i="12"/>
  <c r="J34" i="12"/>
  <c r="D34" i="12"/>
  <c r="F34" i="12"/>
  <c r="H34" i="12"/>
  <c r="G34" i="12"/>
  <c r="C12" i="8"/>
  <c r="A3" i="7"/>
  <c r="I17" i="12"/>
  <c r="E17" i="12"/>
  <c r="J17" i="12"/>
  <c r="F17" i="12"/>
  <c r="G20" i="12"/>
  <c r="H20" i="12"/>
  <c r="D20" i="12"/>
  <c r="J20" i="12"/>
  <c r="I25" i="12"/>
  <c r="E25" i="12"/>
  <c r="J25" i="12"/>
  <c r="F25" i="12"/>
  <c r="G28" i="12"/>
  <c r="H28" i="12"/>
  <c r="D28" i="12"/>
  <c r="J28" i="12"/>
  <c r="I33" i="12"/>
  <c r="E33" i="12"/>
  <c r="J33" i="12"/>
  <c r="F33" i="12"/>
  <c r="G35" i="12"/>
  <c r="J35" i="12"/>
  <c r="E35" i="12"/>
  <c r="F35" i="12"/>
  <c r="J16" i="13"/>
  <c r="E16" i="13"/>
  <c r="D16" i="13"/>
  <c r="J12" i="12"/>
  <c r="E15" i="12"/>
  <c r="J15" i="12"/>
  <c r="D17" i="12"/>
  <c r="G18" i="12"/>
  <c r="H18" i="12"/>
  <c r="D18" i="12"/>
  <c r="J18" i="12"/>
  <c r="K18" i="12" s="1"/>
  <c r="E20" i="12"/>
  <c r="I23" i="12"/>
  <c r="E23" i="12"/>
  <c r="J23" i="12"/>
  <c r="F23" i="12"/>
  <c r="D25" i="12"/>
  <c r="G26" i="12"/>
  <c r="H26" i="12"/>
  <c r="D26" i="12"/>
  <c r="J26" i="12"/>
  <c r="K26" i="12" s="1"/>
  <c r="E28" i="12"/>
  <c r="I31" i="12"/>
  <c r="E31" i="12"/>
  <c r="J31" i="12"/>
  <c r="F31" i="12"/>
  <c r="D33" i="12"/>
  <c r="D35" i="12"/>
  <c r="I36" i="12"/>
  <c r="K36" i="12" s="1"/>
  <c r="E36" i="12"/>
  <c r="F36" i="12"/>
  <c r="G36" i="12"/>
  <c r="J40" i="12"/>
  <c r="F40" i="12"/>
  <c r="I40" i="12"/>
  <c r="E40" i="12"/>
  <c r="H40" i="12"/>
  <c r="D40" i="12"/>
  <c r="G40" i="12"/>
  <c r="J12" i="13"/>
  <c r="E12" i="13"/>
  <c r="D12" i="13"/>
  <c r="D12" i="12"/>
  <c r="E7" i="14"/>
  <c r="D8" i="13"/>
  <c r="I7" i="14"/>
  <c r="H8" i="13"/>
  <c r="E13" i="12"/>
  <c r="J13" i="12"/>
  <c r="D15" i="12"/>
  <c r="D16" i="12"/>
  <c r="J16" i="12"/>
  <c r="G17" i="12"/>
  <c r="E18" i="12"/>
  <c r="F20" i="12"/>
  <c r="I21" i="12"/>
  <c r="E21" i="12"/>
  <c r="J21" i="12"/>
  <c r="F21" i="12"/>
  <c r="D23" i="12"/>
  <c r="G24" i="12"/>
  <c r="H24" i="12"/>
  <c r="D24" i="12"/>
  <c r="J24" i="12"/>
  <c r="K24" i="12" s="1"/>
  <c r="G25" i="12"/>
  <c r="E26" i="12"/>
  <c r="F28" i="12"/>
  <c r="I29" i="12"/>
  <c r="E29" i="12"/>
  <c r="J29" i="12"/>
  <c r="F29" i="12"/>
  <c r="D31" i="12"/>
  <c r="G32" i="12"/>
  <c r="H32" i="12"/>
  <c r="D32" i="12"/>
  <c r="J32" i="12"/>
  <c r="K32" i="12" s="1"/>
  <c r="G33" i="12"/>
  <c r="H35" i="12"/>
  <c r="D36" i="12"/>
  <c r="H41" i="12"/>
  <c r="D41" i="12"/>
  <c r="G41" i="12"/>
  <c r="J41" i="12"/>
  <c r="F41" i="12"/>
  <c r="I41" i="12"/>
  <c r="D9" i="13"/>
  <c r="I10" i="14"/>
  <c r="P4" i="5"/>
  <c r="D14" i="12"/>
  <c r="J14" i="12"/>
  <c r="H17" i="12"/>
  <c r="F18" i="12"/>
  <c r="I19" i="12"/>
  <c r="E19" i="12"/>
  <c r="J19" i="12"/>
  <c r="F19" i="12"/>
  <c r="I20" i="12"/>
  <c r="G22" i="12"/>
  <c r="H22" i="12"/>
  <c r="D22" i="12"/>
  <c r="J22" i="12"/>
  <c r="K22" i="12" s="1"/>
  <c r="G23" i="12"/>
  <c r="H25" i="12"/>
  <c r="F26" i="12"/>
  <c r="I27" i="12"/>
  <c r="E27" i="12"/>
  <c r="J27" i="12"/>
  <c r="F27" i="12"/>
  <c r="I28" i="12"/>
  <c r="G30" i="12"/>
  <c r="H30" i="12"/>
  <c r="D30" i="12"/>
  <c r="J30" i="12"/>
  <c r="K30" i="12" s="1"/>
  <c r="G31" i="12"/>
  <c r="H33" i="12"/>
  <c r="I35" i="12"/>
  <c r="K35" i="12" s="1"/>
  <c r="H36" i="12"/>
  <c r="J38" i="12"/>
  <c r="I38" i="12"/>
  <c r="E38" i="12"/>
  <c r="G38" i="12"/>
  <c r="H38" i="12"/>
  <c r="H39" i="12"/>
  <c r="D39" i="12"/>
  <c r="G39" i="12"/>
  <c r="J39" i="12"/>
  <c r="F39" i="12"/>
  <c r="E39" i="12"/>
  <c r="I39" i="12"/>
  <c r="J23" i="13"/>
  <c r="H15" i="14"/>
  <c r="C3" i="6"/>
  <c r="G37" i="12"/>
  <c r="H37" i="12"/>
  <c r="J14" i="13"/>
  <c r="E14" i="13"/>
  <c r="J18" i="13"/>
  <c r="E18" i="13"/>
  <c r="J22" i="13"/>
  <c r="E22" i="13"/>
  <c r="K26" i="13"/>
  <c r="G26" i="13"/>
  <c r="J26" i="13"/>
  <c r="F26" i="13"/>
  <c r="I26" i="13"/>
  <c r="E26" i="13"/>
  <c r="F27" i="13"/>
  <c r="K30" i="13"/>
  <c r="G30" i="13"/>
  <c r="J30" i="13"/>
  <c r="F30" i="13"/>
  <c r="I30" i="13"/>
  <c r="E30" i="13"/>
  <c r="K34" i="13"/>
  <c r="G34" i="13"/>
  <c r="J34" i="13"/>
  <c r="F34" i="13"/>
  <c r="I34" i="13"/>
  <c r="E34" i="13"/>
  <c r="K38" i="13"/>
  <c r="G38" i="13"/>
  <c r="J38" i="13"/>
  <c r="F38" i="13"/>
  <c r="I38" i="13"/>
  <c r="E38" i="13"/>
  <c r="F39" i="13"/>
  <c r="E13" i="13"/>
  <c r="D13" i="13"/>
  <c r="E17" i="13"/>
  <c r="D17" i="13"/>
  <c r="E21" i="13"/>
  <c r="D21" i="13"/>
  <c r="I25" i="13"/>
  <c r="E25" i="13"/>
  <c r="H25" i="13"/>
  <c r="D25" i="13"/>
  <c r="K25" i="13"/>
  <c r="G25" i="13"/>
  <c r="D26" i="13"/>
  <c r="I29" i="13"/>
  <c r="E29" i="13"/>
  <c r="H29" i="13"/>
  <c r="D29" i="13"/>
  <c r="K29" i="13"/>
  <c r="G29" i="13"/>
  <c r="D30" i="13"/>
  <c r="I33" i="13"/>
  <c r="E33" i="13"/>
  <c r="H33" i="13"/>
  <c r="D33" i="13"/>
  <c r="K33" i="13"/>
  <c r="G33" i="13"/>
  <c r="D34" i="13"/>
  <c r="I37" i="13"/>
  <c r="E37" i="13"/>
  <c r="H37" i="13"/>
  <c r="D37" i="13"/>
  <c r="K37" i="13"/>
  <c r="G37" i="13"/>
  <c r="D38" i="13"/>
  <c r="I41" i="13"/>
  <c r="E41" i="13"/>
  <c r="H41" i="13"/>
  <c r="D41" i="13"/>
  <c r="K41" i="13"/>
  <c r="G41" i="13"/>
  <c r="J20" i="13"/>
  <c r="E20" i="13"/>
  <c r="J24" i="13"/>
  <c r="E24" i="13"/>
  <c r="F25" i="13"/>
  <c r="K28" i="13"/>
  <c r="G28" i="13"/>
  <c r="J28" i="13"/>
  <c r="F28" i="13"/>
  <c r="I28" i="13"/>
  <c r="E28" i="13"/>
  <c r="F29" i="13"/>
  <c r="H30" i="13"/>
  <c r="K32" i="13"/>
  <c r="G32" i="13"/>
  <c r="J32" i="13"/>
  <c r="F32" i="13"/>
  <c r="I32" i="13"/>
  <c r="E32" i="13"/>
  <c r="F33" i="13"/>
  <c r="H34" i="13"/>
  <c r="K36" i="13"/>
  <c r="G36" i="13"/>
  <c r="J36" i="13"/>
  <c r="F36" i="13"/>
  <c r="I36" i="13"/>
  <c r="E36" i="13"/>
  <c r="F37" i="13"/>
  <c r="H38" i="13"/>
  <c r="K40" i="13"/>
  <c r="G40" i="13"/>
  <c r="J40" i="13"/>
  <c r="F40" i="13"/>
  <c r="I40" i="13"/>
  <c r="E40" i="13"/>
  <c r="F41" i="13"/>
  <c r="D3" i="7"/>
  <c r="J13" i="13"/>
  <c r="E15" i="13"/>
  <c r="D15" i="13"/>
  <c r="J17" i="13"/>
  <c r="E19" i="13"/>
  <c r="D19" i="13"/>
  <c r="D20" i="13"/>
  <c r="J21" i="13"/>
  <c r="E23" i="13"/>
  <c r="D23" i="13"/>
  <c r="D24" i="13"/>
  <c r="J25" i="13"/>
  <c r="I27" i="13"/>
  <c r="E27" i="13"/>
  <c r="H27" i="13"/>
  <c r="D27" i="13"/>
  <c r="K27" i="13"/>
  <c r="G27" i="13"/>
  <c r="D28" i="13"/>
  <c r="J29" i="13"/>
  <c r="I31" i="13"/>
  <c r="E31" i="13"/>
  <c r="H31" i="13"/>
  <c r="D31" i="13"/>
  <c r="K31" i="13"/>
  <c r="G31" i="13"/>
  <c r="D32" i="13"/>
  <c r="J33" i="13"/>
  <c r="I35" i="13"/>
  <c r="E35" i="13"/>
  <c r="H35" i="13"/>
  <c r="D35" i="13"/>
  <c r="K35" i="13"/>
  <c r="G35" i="13"/>
  <c r="D36" i="13"/>
  <c r="J37" i="13"/>
  <c r="I39" i="13"/>
  <c r="E39" i="13"/>
  <c r="H39" i="13"/>
  <c r="D39" i="13"/>
  <c r="K39" i="13"/>
  <c r="G39" i="13"/>
  <c r="D40" i="13"/>
  <c r="J41" i="13"/>
  <c r="K28" i="12" l="1"/>
  <c r="K20" i="12"/>
  <c r="H46" i="4"/>
  <c r="H51" i="4"/>
  <c r="I51" i="4" s="1"/>
  <c r="J51" i="4" s="1"/>
  <c r="K51" i="4" s="1"/>
  <c r="N51" i="4" s="1"/>
  <c r="H48" i="4"/>
  <c r="F15" i="12" s="1"/>
  <c r="H44" i="4"/>
  <c r="H47" i="4"/>
  <c r="I47" i="4" s="1"/>
  <c r="J47" i="4" s="1"/>
  <c r="K47" i="4" s="1"/>
  <c r="N47" i="4" s="1"/>
  <c r="H52" i="4"/>
  <c r="H43" i="4"/>
  <c r="I43" i="4" s="1"/>
  <c r="J43" i="4" s="1"/>
  <c r="K43" i="4" s="1"/>
  <c r="N43" i="4" s="1"/>
  <c r="H54" i="4"/>
  <c r="I54" i="4" s="1"/>
  <c r="J54" i="4" s="1"/>
  <c r="K54" i="4" s="1"/>
  <c r="N54" i="4" s="1"/>
  <c r="H50" i="4"/>
  <c r="H53" i="4"/>
  <c r="H45" i="4"/>
  <c r="H49" i="4"/>
  <c r="H56" i="4"/>
  <c r="H62" i="4"/>
  <c r="I62" i="4" s="1"/>
  <c r="J62" i="4" s="1"/>
  <c r="K62" i="4" s="1"/>
  <c r="N62" i="4" s="1"/>
  <c r="H67" i="4"/>
  <c r="H59" i="4"/>
  <c r="H55" i="4"/>
  <c r="I55" i="4" s="1"/>
  <c r="J55" i="4" s="1"/>
  <c r="K55" i="4" s="1"/>
  <c r="N55" i="4" s="1"/>
  <c r="H66" i="4"/>
  <c r="I66" i="4" s="1"/>
  <c r="J66" i="4" s="1"/>
  <c r="K66" i="4" s="1"/>
  <c r="N66" i="4" s="1"/>
  <c r="H58" i="4"/>
  <c r="I58" i="4" s="1"/>
  <c r="J58" i="4" s="1"/>
  <c r="K58" i="4" s="1"/>
  <c r="N58" i="4" s="1"/>
  <c r="H63" i="4"/>
  <c r="H64" i="4"/>
  <c r="H60" i="4"/>
  <c r="H65" i="4"/>
  <c r="H61" i="4"/>
  <c r="H57" i="4"/>
  <c r="K33" i="12"/>
  <c r="K17" i="12"/>
  <c r="K41" i="12"/>
  <c r="K21" i="12"/>
  <c r="N7" i="3"/>
  <c r="G7" i="14"/>
  <c r="N6" i="3"/>
  <c r="M3" i="3"/>
  <c r="H5" i="4" s="1"/>
  <c r="N3" i="3"/>
  <c r="H9" i="13" s="1"/>
  <c r="F8" i="13"/>
  <c r="K40" i="12"/>
  <c r="K31" i="12"/>
  <c r="M4" i="3"/>
  <c r="H28" i="4" s="1"/>
  <c r="I28" i="4" s="1"/>
  <c r="J28" i="4" s="1"/>
  <c r="K28" i="4" s="1"/>
  <c r="N28" i="4" s="1"/>
  <c r="K38" i="12"/>
  <c r="K23" i="12"/>
  <c r="K39" i="12"/>
  <c r="K19" i="12"/>
  <c r="K25" i="12"/>
  <c r="M5" i="3"/>
  <c r="K29" i="12"/>
  <c r="K34" i="12"/>
  <c r="K27" i="12"/>
  <c r="H8" i="4" l="1"/>
  <c r="H11" i="4"/>
  <c r="H15" i="4"/>
  <c r="I59" i="4"/>
  <c r="F16" i="12"/>
  <c r="I67" i="4"/>
  <c r="J67" i="4" s="1"/>
  <c r="K67" i="4" s="1"/>
  <c r="N67" i="4" s="1"/>
  <c r="I45" i="4"/>
  <c r="J45" i="4" s="1"/>
  <c r="K45" i="4" s="1"/>
  <c r="N45" i="4" s="1"/>
  <c r="I48" i="4"/>
  <c r="I61" i="4"/>
  <c r="J61" i="4" s="1"/>
  <c r="K61" i="4" s="1"/>
  <c r="N61" i="4" s="1"/>
  <c r="I65" i="4"/>
  <c r="J65" i="4" s="1"/>
  <c r="K65" i="4" s="1"/>
  <c r="N65" i="4" s="1"/>
  <c r="I60" i="4"/>
  <c r="J60" i="4" s="1"/>
  <c r="K60" i="4" s="1"/>
  <c r="N60" i="4" s="1"/>
  <c r="I53" i="4"/>
  <c r="J53" i="4" s="1"/>
  <c r="K53" i="4" s="1"/>
  <c r="N53" i="4" s="1"/>
  <c r="I52" i="4"/>
  <c r="J52" i="4" s="1"/>
  <c r="K52" i="4" s="1"/>
  <c r="N52" i="4" s="1"/>
  <c r="I63" i="4"/>
  <c r="J63" i="4" s="1"/>
  <c r="K63" i="4" s="1"/>
  <c r="N63" i="4" s="1"/>
  <c r="I49" i="4"/>
  <c r="J49" i="4" s="1"/>
  <c r="K49" i="4" s="1"/>
  <c r="N49" i="4" s="1"/>
  <c r="I44" i="4"/>
  <c r="J44" i="4" s="1"/>
  <c r="K44" i="4" s="1"/>
  <c r="N44" i="4" s="1"/>
  <c r="I57" i="4"/>
  <c r="J57" i="4" s="1"/>
  <c r="K57" i="4" s="1"/>
  <c r="N57" i="4" s="1"/>
  <c r="I64" i="4"/>
  <c r="J64" i="4" s="1"/>
  <c r="K64" i="4" s="1"/>
  <c r="N64" i="4" s="1"/>
  <c r="I56" i="4"/>
  <c r="J56" i="4" s="1"/>
  <c r="K56" i="4" s="1"/>
  <c r="N56" i="4" s="1"/>
  <c r="I50" i="4"/>
  <c r="J50" i="4" s="1"/>
  <c r="K50" i="4" s="1"/>
  <c r="N50" i="4" s="1"/>
  <c r="I46" i="4"/>
  <c r="J46" i="4" s="1"/>
  <c r="K46" i="4" s="1"/>
  <c r="N46" i="4" s="1"/>
  <c r="H9" i="4"/>
  <c r="I9" i="4" s="1"/>
  <c r="G18" i="13" s="1"/>
  <c r="H6" i="4"/>
  <c r="I6" i="4" s="1"/>
  <c r="G15" i="13" s="1"/>
  <c r="H14" i="4"/>
  <c r="H13" i="4"/>
  <c r="F22" i="13" s="1"/>
  <c r="H4" i="4"/>
  <c r="F13" i="13" s="1"/>
  <c r="H10" i="4"/>
  <c r="I10" i="4" s="1"/>
  <c r="G19" i="13" s="1"/>
  <c r="J8" i="13"/>
  <c r="H12" i="4"/>
  <c r="F21" i="13" s="1"/>
  <c r="H3" i="4"/>
  <c r="I3" i="4" s="1"/>
  <c r="G12" i="13" s="1"/>
  <c r="H7" i="4"/>
  <c r="F16" i="13" s="1"/>
  <c r="C10" i="14"/>
  <c r="H23" i="4"/>
  <c r="I23" i="4" s="1"/>
  <c r="J23" i="4" s="1"/>
  <c r="K23" i="4" s="1"/>
  <c r="N23" i="4" s="1"/>
  <c r="H26" i="4"/>
  <c r="I26" i="4" s="1"/>
  <c r="J26" i="4" s="1"/>
  <c r="K26" i="4" s="1"/>
  <c r="N26" i="4" s="1"/>
  <c r="H22" i="4"/>
  <c r="I22" i="4" s="1"/>
  <c r="J22" i="4" s="1"/>
  <c r="K22" i="4" s="1"/>
  <c r="N22" i="4" s="1"/>
  <c r="H24" i="4"/>
  <c r="I24" i="4" s="1"/>
  <c r="J24" i="4" s="1"/>
  <c r="K24" i="4" s="1"/>
  <c r="N24" i="4" s="1"/>
  <c r="H17" i="4"/>
  <c r="I17" i="4" s="1"/>
  <c r="J17" i="4" s="1"/>
  <c r="K17" i="4" s="1"/>
  <c r="N17" i="4" s="1"/>
  <c r="H16" i="4"/>
  <c r="I16" i="4" s="1"/>
  <c r="J16" i="4" s="1"/>
  <c r="K16" i="4" s="1"/>
  <c r="N16" i="4" s="1"/>
  <c r="H29" i="4"/>
  <c r="H27" i="4"/>
  <c r="I27" i="4" s="1"/>
  <c r="J27" i="4" s="1"/>
  <c r="K27" i="4" s="1"/>
  <c r="N27" i="4" s="1"/>
  <c r="H19" i="4"/>
  <c r="I19" i="4" s="1"/>
  <c r="J19" i="4" s="1"/>
  <c r="K19" i="4" s="1"/>
  <c r="N19" i="4" s="1"/>
  <c r="H21" i="4"/>
  <c r="I21" i="4" s="1"/>
  <c r="J21" i="4" s="1"/>
  <c r="K21" i="4" s="1"/>
  <c r="N21" i="4" s="1"/>
  <c r="H20" i="4"/>
  <c r="I20" i="4" s="1"/>
  <c r="J20" i="4" s="1"/>
  <c r="K20" i="4" s="1"/>
  <c r="N20" i="4" s="1"/>
  <c r="H25" i="4"/>
  <c r="I25" i="4" s="1"/>
  <c r="J25" i="4" s="1"/>
  <c r="K25" i="4" s="1"/>
  <c r="N25" i="4" s="1"/>
  <c r="H18" i="4"/>
  <c r="I18" i="4" s="1"/>
  <c r="J18" i="4" s="1"/>
  <c r="K18" i="4" s="1"/>
  <c r="N18" i="4" s="1"/>
  <c r="H30" i="4"/>
  <c r="I30" i="4" s="1"/>
  <c r="J30" i="4" s="1"/>
  <c r="K30" i="4" s="1"/>
  <c r="N30" i="4" s="1"/>
  <c r="H35" i="4"/>
  <c r="I35" i="4" s="1"/>
  <c r="J35" i="4" s="1"/>
  <c r="K35" i="4" s="1"/>
  <c r="N35" i="4" s="1"/>
  <c r="H42" i="4"/>
  <c r="I42" i="4" s="1"/>
  <c r="J42" i="4" s="1"/>
  <c r="K42" i="4" s="1"/>
  <c r="N42" i="4" s="1"/>
  <c r="H39" i="4"/>
  <c r="I39" i="4" s="1"/>
  <c r="J39" i="4" s="1"/>
  <c r="K39" i="4" s="1"/>
  <c r="N39" i="4" s="1"/>
  <c r="H36" i="4"/>
  <c r="I36" i="4" s="1"/>
  <c r="J36" i="4" s="1"/>
  <c r="K36" i="4" s="1"/>
  <c r="N36" i="4" s="1"/>
  <c r="H40" i="4"/>
  <c r="I40" i="4" s="1"/>
  <c r="J40" i="4" s="1"/>
  <c r="K40" i="4" s="1"/>
  <c r="N40" i="4" s="1"/>
  <c r="H31" i="4"/>
  <c r="I31" i="4" s="1"/>
  <c r="J31" i="4" s="1"/>
  <c r="K31" i="4" s="1"/>
  <c r="N31" i="4" s="1"/>
  <c r="H38" i="4"/>
  <c r="I38" i="4" s="1"/>
  <c r="J38" i="4" s="1"/>
  <c r="K38" i="4" s="1"/>
  <c r="N38" i="4" s="1"/>
  <c r="H37" i="4"/>
  <c r="I37" i="4" s="1"/>
  <c r="J37" i="4" s="1"/>
  <c r="K37" i="4" s="1"/>
  <c r="N37" i="4" s="1"/>
  <c r="H41" i="4"/>
  <c r="I41" i="4" s="1"/>
  <c r="J41" i="4" s="1"/>
  <c r="K41" i="4" s="1"/>
  <c r="N41" i="4" s="1"/>
  <c r="H34" i="4"/>
  <c r="H33" i="4"/>
  <c r="I33" i="4" s="1"/>
  <c r="J33" i="4" s="1"/>
  <c r="K33" i="4" s="1"/>
  <c r="N33" i="4" s="1"/>
  <c r="H32" i="4"/>
  <c r="I32" i="4" s="1"/>
  <c r="J32" i="4" s="1"/>
  <c r="K32" i="4" s="1"/>
  <c r="N32" i="4" s="1"/>
  <c r="I7" i="4"/>
  <c r="G16" i="13" s="1"/>
  <c r="I11" i="4"/>
  <c r="G20" i="13" s="1"/>
  <c r="F20" i="13"/>
  <c r="I14" i="4"/>
  <c r="G23" i="13" s="1"/>
  <c r="F23" i="13"/>
  <c r="I15" i="4"/>
  <c r="J15" i="4" s="1"/>
  <c r="F12" i="12"/>
  <c r="F24" i="13"/>
  <c r="I13" i="4"/>
  <c r="G22" i="13" s="1"/>
  <c r="I5" i="4"/>
  <c r="G14" i="13" s="1"/>
  <c r="F14" i="13"/>
  <c r="F17" i="13"/>
  <c r="I8" i="4"/>
  <c r="G17" i="13" s="1"/>
  <c r="I4" i="4" l="1"/>
  <c r="G13" i="13" s="1"/>
  <c r="F15" i="13"/>
  <c r="F19" i="13"/>
  <c r="J48" i="4"/>
  <c r="G15" i="12"/>
  <c r="J59" i="4"/>
  <c r="G16" i="12"/>
  <c r="F12" i="13"/>
  <c r="F18" i="13"/>
  <c r="I12" i="4"/>
  <c r="G21" i="13" s="1"/>
  <c r="F13" i="12"/>
  <c r="I29" i="4"/>
  <c r="I34" i="4"/>
  <c r="F14" i="12"/>
  <c r="J10" i="4"/>
  <c r="K10" i="4" s="1"/>
  <c r="J8" i="4"/>
  <c r="H17" i="13" s="1"/>
  <c r="J14" i="4"/>
  <c r="K14" i="4" s="1"/>
  <c r="J9" i="4"/>
  <c r="K9" i="4" s="1"/>
  <c r="J13" i="4"/>
  <c r="K13" i="4" s="1"/>
  <c r="K8" i="4"/>
  <c r="J11" i="4"/>
  <c r="J12" i="4"/>
  <c r="H22" i="13"/>
  <c r="K15" i="4"/>
  <c r="H24" i="13"/>
  <c r="H12" i="12"/>
  <c r="J3" i="4"/>
  <c r="J4" i="4"/>
  <c r="J5" i="4"/>
  <c r="G12" i="12"/>
  <c r="G24" i="13"/>
  <c r="J6" i="4"/>
  <c r="J7" i="4"/>
  <c r="E7" i="12" l="1"/>
  <c r="K59" i="4"/>
  <c r="H16" i="12"/>
  <c r="K48" i="4"/>
  <c r="H15" i="12"/>
  <c r="H19" i="13"/>
  <c r="H23" i="13"/>
  <c r="G13" i="12"/>
  <c r="J29" i="4"/>
  <c r="G14" i="12"/>
  <c r="J34" i="4"/>
  <c r="H18" i="13"/>
  <c r="N13" i="4"/>
  <c r="I22" i="13"/>
  <c r="K22" i="13" s="1"/>
  <c r="N15" i="4"/>
  <c r="I12" i="12"/>
  <c r="K12" i="12" s="1"/>
  <c r="I24" i="13"/>
  <c r="K24" i="13" s="1"/>
  <c r="K3" i="4"/>
  <c r="H12" i="13"/>
  <c r="K7" i="4"/>
  <c r="H16" i="13"/>
  <c r="K6" i="4"/>
  <c r="H15" i="13"/>
  <c r="H14" i="13"/>
  <c r="K5" i="4"/>
  <c r="N10" i="4"/>
  <c r="I19" i="13"/>
  <c r="K19" i="13" s="1"/>
  <c r="N14" i="4"/>
  <c r="I23" i="13"/>
  <c r="K23" i="13" s="1"/>
  <c r="K4" i="4"/>
  <c r="H13" i="13"/>
  <c r="K12" i="4"/>
  <c r="H21" i="13"/>
  <c r="N9" i="4"/>
  <c r="I18" i="13"/>
  <c r="K18" i="13" s="1"/>
  <c r="K11" i="4"/>
  <c r="H20" i="13"/>
  <c r="N8" i="4"/>
  <c r="I17" i="13"/>
  <c r="K17" i="13" s="1"/>
  <c r="N48" i="4" l="1"/>
  <c r="I15" i="12"/>
  <c r="K15" i="12" s="1"/>
  <c r="N59" i="4"/>
  <c r="I16" i="12"/>
  <c r="K16" i="12" s="1"/>
  <c r="H13" i="12"/>
  <c r="K29" i="4"/>
  <c r="K34" i="4"/>
  <c r="H14" i="12"/>
  <c r="G7" i="12"/>
  <c r="N11" i="4"/>
  <c r="I20" i="13"/>
  <c r="K20" i="13" s="1"/>
  <c r="N12" i="4"/>
  <c r="I21" i="13"/>
  <c r="K21" i="13" s="1"/>
  <c r="N6" i="4"/>
  <c r="I15" i="13"/>
  <c r="K15" i="13" s="1"/>
  <c r="N3" i="4"/>
  <c r="I12" i="13"/>
  <c r="K12" i="13" s="1"/>
  <c r="N5" i="4"/>
  <c r="I14" i="13"/>
  <c r="K14" i="13" s="1"/>
  <c r="N4" i="4"/>
  <c r="I13" i="13"/>
  <c r="K13" i="13" s="1"/>
  <c r="N7" i="4"/>
  <c r="I16" i="13"/>
  <c r="K16" i="13" s="1"/>
  <c r="N29" i="4" l="1"/>
  <c r="I13" i="12"/>
  <c r="K13" i="12" s="1"/>
  <c r="N34" i="4"/>
  <c r="I14" i="12"/>
  <c r="K14" i="12" s="1"/>
  <c r="C8" i="12"/>
  <c r="G8" i="12" s="1"/>
  <c r="C13" i="14" l="1"/>
</calcChain>
</file>

<file path=xl/sharedStrings.xml><?xml version="1.0" encoding="utf-8"?>
<sst xmlns="http://schemas.openxmlformats.org/spreadsheetml/2006/main" count="507" uniqueCount="255">
  <si>
    <t>ProjStatus</t>
  </si>
  <si>
    <t>DistTypes</t>
  </si>
  <si>
    <t>ExpTypes</t>
  </si>
  <si>
    <t>ColTypes</t>
  </si>
  <si>
    <t>تحت الدراسة</t>
  </si>
  <si>
    <t>توزيع أرباح</t>
  </si>
  <si>
    <t>إدارة</t>
  </si>
  <si>
    <t>دفعة أولى</t>
  </si>
  <si>
    <t>قيد التنفيذ</t>
  </si>
  <si>
    <t>رد رأس مال</t>
  </si>
  <si>
    <t>عمولة</t>
  </si>
  <si>
    <t>دفعة ثانية</t>
  </si>
  <si>
    <t>مكتمل</t>
  </si>
  <si>
    <t>مسحوب للمساهم</t>
  </si>
  <si>
    <t>ضرائب</t>
  </si>
  <si>
    <t>دفعة إضافية</t>
  </si>
  <si>
    <t>متوقف</t>
  </si>
  <si>
    <t>مسحوب للإدارة</t>
  </si>
  <si>
    <t>مقاولات</t>
  </si>
  <si>
    <t>تحصيل نهائي</t>
  </si>
  <si>
    <t>تسوية</t>
  </si>
  <si>
    <t>تشطيب</t>
  </si>
  <si>
    <t>تحويل وارد</t>
  </si>
  <si>
    <t>تحويل بين المشاريع</t>
  </si>
  <si>
    <t>شراء</t>
  </si>
  <si>
    <t>أخرى</t>
  </si>
  <si>
    <t>تسويق</t>
  </si>
  <si>
    <t>قانوني</t>
  </si>
  <si>
    <t>مصاريف تشغيل</t>
  </si>
  <si>
    <t>كود المساهم</t>
  </si>
  <si>
    <t>اسم المساهم</t>
  </si>
  <si>
    <t>رقم الهاتف</t>
  </si>
  <si>
    <t>ملاحظات</t>
  </si>
  <si>
    <t>INV-001</t>
  </si>
  <si>
    <t>ابو سامح</t>
  </si>
  <si>
    <t>INV-002</t>
  </si>
  <si>
    <t>وليد مصطفى</t>
  </si>
  <si>
    <t>INV-003</t>
  </si>
  <si>
    <t>مايز محمد</t>
  </si>
  <si>
    <t>INV-004</t>
  </si>
  <si>
    <t>زكريا على</t>
  </si>
  <si>
    <t>INV-005</t>
  </si>
  <si>
    <t>رمضان رجب</t>
  </si>
  <si>
    <t>INV-006</t>
  </si>
  <si>
    <t>اشرف ابراهيم</t>
  </si>
  <si>
    <t>INV-007</t>
  </si>
  <si>
    <t>على ممدوح</t>
  </si>
  <si>
    <t>INV-008</t>
  </si>
  <si>
    <t>عمر صلاح</t>
  </si>
  <si>
    <t>INV-009</t>
  </si>
  <si>
    <t>جمعه خلف</t>
  </si>
  <si>
    <t>INV-010</t>
  </si>
  <si>
    <t>محمد ناجى</t>
  </si>
  <si>
    <t>INV-011</t>
  </si>
  <si>
    <t>عماد تقى نقى</t>
  </si>
  <si>
    <t>INV-012</t>
  </si>
  <si>
    <t>امدحت</t>
  </si>
  <si>
    <t>INV-013</t>
  </si>
  <si>
    <t>الحاج خلف الارض</t>
  </si>
  <si>
    <t>INV-014</t>
  </si>
  <si>
    <t>على سوهاج</t>
  </si>
  <si>
    <t>INV-015</t>
  </si>
  <si>
    <t>امجد تكييف</t>
  </si>
  <si>
    <t>INV-016</t>
  </si>
  <si>
    <t>محمد رجب</t>
  </si>
  <si>
    <t>INV-017</t>
  </si>
  <si>
    <t>احمد محمد رشدى</t>
  </si>
  <si>
    <t>INV-019</t>
  </si>
  <si>
    <t xml:space="preserve">اشرف خلف الشقة </t>
  </si>
  <si>
    <t>INV-021</t>
  </si>
  <si>
    <t>محمد سامى</t>
  </si>
  <si>
    <t>INV-023</t>
  </si>
  <si>
    <t>حسن رمضان</t>
  </si>
  <si>
    <t>INV-024</t>
  </si>
  <si>
    <t>مصطفى السيد</t>
  </si>
  <si>
    <t>INV-025</t>
  </si>
  <si>
    <t>محمود محمد السيد</t>
  </si>
  <si>
    <t>INV-028</t>
  </si>
  <si>
    <t>محمد عبدالرازق</t>
  </si>
  <si>
    <t>INV-029</t>
  </si>
  <si>
    <t>الحاج خلف راضى القراط</t>
  </si>
  <si>
    <t>INV-031</t>
  </si>
  <si>
    <t>رمضان راضى</t>
  </si>
  <si>
    <t>INV-032</t>
  </si>
  <si>
    <t>جمال صابر</t>
  </si>
  <si>
    <t>INV-033</t>
  </si>
  <si>
    <t>ا/ تامر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</si>
  <si>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</si>
  <si>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</si>
  <si>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</si>
  <si>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</si>
  <si>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</si>
  <si>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</si>
  <si>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</si>
  <si>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</si>
  <si>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</si>
  <si>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INV-043</t>
  </si>
  <si>
    <t>INV-044</t>
  </si>
  <si>
    <t>INV-045</t>
  </si>
  <si>
    <t>INV-046</t>
  </si>
  <si>
    <t>INV-047</t>
  </si>
  <si>
    <t>INV-048</t>
  </si>
  <si>
    <t>INV-049</t>
  </si>
  <si>
    <t>INV-050</t>
  </si>
  <si>
    <t>كود المشروع</t>
  </si>
  <si>
    <t>اسم المشروع</t>
  </si>
  <si>
    <t>نوع المشروع</t>
  </si>
  <si>
    <t>تاريخ البداية</t>
  </si>
  <si>
    <t>تاريخ النهاية</t>
  </si>
  <si>
    <t>حالة المشروع</t>
  </si>
  <si>
    <t>إجمالي رأس المال</t>
  </si>
  <si>
    <t>إجمالي التحصيل المتوقع</t>
  </si>
  <si>
    <t>إجمالي التحصيل الفعلي</t>
  </si>
  <si>
    <t>التحويلات الواردة</t>
  </si>
  <si>
    <t>التحويلات الصادرة</t>
  </si>
  <si>
    <t>إجمالي المصروفات</t>
  </si>
  <si>
    <t>صافي الربح</t>
  </si>
  <si>
    <t>السيولة المتبقية بالمشروع</t>
  </si>
  <si>
    <t>إجمالي قيمة المبيعات</t>
  </si>
  <si>
    <t>المبيعات الكاش</t>
  </si>
  <si>
    <t>المبيعات بالتقسيط</t>
  </si>
  <si>
    <t>إجمالي التحصيلات (مبيعات)</t>
  </si>
  <si>
    <t>المتبقي من المبيعات</t>
  </si>
  <si>
    <t>PRJ-001</t>
  </si>
  <si>
    <t>8842</t>
  </si>
  <si>
    <t>عقاري</t>
  </si>
  <si>
    <t>PRJ-002</t>
  </si>
  <si>
    <t>مصر للتامين</t>
  </si>
  <si>
    <t>عقارى</t>
  </si>
  <si>
    <t>PRJ-003</t>
  </si>
  <si>
    <t>خلف قطعة بلال قطعه 12</t>
  </si>
  <si>
    <t>رأس مال المساهم</t>
  </si>
  <si>
    <t>نسبة مساهمته</t>
  </si>
  <si>
    <t>نسبة الإدارة الخاصة به</t>
  </si>
  <si>
    <t>حصة الربح قبل الإدارة</t>
  </si>
  <si>
    <t>نصيب الإدارة</t>
  </si>
  <si>
    <t>صافي ربح المساهم</t>
  </si>
  <si>
    <t>إجمالي المستحق للمساهم</t>
  </si>
  <si>
    <t>المسحوبات (تتضمن رد رأس المال والأرباح)</t>
  </si>
  <si>
    <t>مسحوبات الإدارة (إن وجدت)</t>
  </si>
  <si>
    <t>المتبقي للمساهم</t>
  </si>
  <si>
    <t>ملاحظات (تنبيه نسبة الإدارة)</t>
  </si>
  <si>
    <t>رقم عملية البيع</t>
  </si>
  <si>
    <t>المرحلة / الجزء المباع</t>
  </si>
  <si>
    <t>وصف الجزء المباع</t>
  </si>
  <si>
    <t>تاريخ البيع</t>
  </si>
  <si>
    <t>قيمة البيع</t>
  </si>
  <si>
    <t>طريقة البيع</t>
  </si>
  <si>
    <t>قيمة المقدم</t>
  </si>
  <si>
    <t>المتبقي عند البيع</t>
  </si>
  <si>
    <t>مدة التقسيط (أشهر)</t>
  </si>
  <si>
    <t>عدد الأقساط</t>
  </si>
  <si>
    <t>دورية الأقساط</t>
  </si>
  <si>
    <t>تاريخ أول قسط</t>
  </si>
  <si>
    <t>إجمالي المدفوع</t>
  </si>
  <si>
    <t>المتبقي الفعلي</t>
  </si>
  <si>
    <t>حالة البيع</t>
  </si>
  <si>
    <t>إجمالي الأقساط المجدولة</t>
  </si>
  <si>
    <t>تنبيه المطابقة</t>
  </si>
  <si>
    <t>كاش</t>
  </si>
  <si>
    <t>رقم القسط</t>
  </si>
  <si>
    <t>المشروع</t>
  </si>
  <si>
    <t>تاريخ الاستحقاق</t>
  </si>
  <si>
    <t>قيمة القسط</t>
  </si>
  <si>
    <t>المدفوع</t>
  </si>
  <si>
    <t>المتبقي</t>
  </si>
  <si>
    <t>حالة القسط</t>
  </si>
  <si>
    <t>تاريخ السداد الفعلي</t>
  </si>
  <si>
    <t>الحالة</t>
  </si>
  <si>
    <t>رقم العملية</t>
  </si>
  <si>
    <t>التاريخ</t>
  </si>
  <si>
    <t>رقم الدفعة</t>
  </si>
  <si>
    <t>المبلغ</t>
  </si>
  <si>
    <t>نوع التحصيل</t>
  </si>
  <si>
    <t>البيان</t>
  </si>
  <si>
    <t>القسط المرتبط</t>
  </si>
  <si>
    <t>طريقة الدفع</t>
  </si>
  <si>
    <t>تنبيه التحصيل</t>
  </si>
  <si>
    <t>COL-0001</t>
  </si>
  <si>
    <t>COL-0002</t>
  </si>
  <si>
    <t>COL-0003</t>
  </si>
  <si>
    <t>COL-0004</t>
  </si>
  <si>
    <t>COL-0005</t>
  </si>
  <si>
    <t>COL-0006</t>
  </si>
  <si>
    <t>COL-0007</t>
  </si>
  <si>
    <t>COL-0008</t>
  </si>
  <si>
    <t>COL-0009</t>
  </si>
  <si>
    <t>قسط</t>
  </si>
  <si>
    <t>نوع المصروف</t>
  </si>
  <si>
    <t>خلف قطعة بلال</t>
  </si>
  <si>
    <t xml:space="preserve">عمولة </t>
  </si>
  <si>
    <t>شقة الاكاديمية</t>
  </si>
  <si>
    <t>عموله</t>
  </si>
  <si>
    <t>البند (المشروع)</t>
  </si>
  <si>
    <t>رأس المال الأصلي</t>
  </si>
  <si>
    <t>رأس المال بعد النقل</t>
  </si>
  <si>
    <t>الفرق</t>
  </si>
  <si>
    <t>حالة المطابقة</t>
  </si>
  <si>
    <t>نوع العملية</t>
  </si>
  <si>
    <t>المشروع المصدر</t>
  </si>
  <si>
    <t>المشروع المستفيد (للتحويل)</t>
  </si>
  <si>
    <t>المساهم</t>
  </si>
  <si>
    <t>من حساب</t>
  </si>
  <si>
    <t>إلى حساب</t>
  </si>
  <si>
    <t>DST-0001</t>
  </si>
  <si>
    <t>مسحوبات شخصيه</t>
  </si>
  <si>
    <t>DST-0002</t>
  </si>
  <si>
    <t>DST-0003</t>
  </si>
  <si>
    <t>DST-0004</t>
  </si>
  <si>
    <t>DST-0005</t>
  </si>
  <si>
    <t>DST-0006</t>
  </si>
  <si>
    <t>DST-0007</t>
  </si>
  <si>
    <t>DST-0008</t>
  </si>
  <si>
    <t>DST-0009</t>
  </si>
  <si>
    <t>DST-0010</t>
  </si>
  <si>
    <t>DST-0011</t>
  </si>
  <si>
    <t>DST-0012</t>
  </si>
  <si>
    <t>DST-0013</t>
  </si>
  <si>
    <t>كشف حساب المساهم عبر المشاريع</t>
  </si>
  <si>
    <t>اختر اسم المساهم:</t>
  </si>
  <si>
    <t>صافي الأرباح</t>
  </si>
  <si>
    <t>إجمالي المستحق</t>
  </si>
  <si>
    <t>إجمالي المسحوبات والتوزيعات</t>
  </si>
  <si>
    <t>الرصيد المتبقي النهائي</t>
  </si>
  <si>
    <t>رأس المال</t>
  </si>
  <si>
    <t>نسبة المساهمة</t>
  </si>
  <si>
    <t>نسبة الإدارة</t>
  </si>
  <si>
    <t>الربح قبل الإدارة</t>
  </si>
  <si>
    <t>إجمالي المسحوبات</t>
  </si>
  <si>
    <t>كشف حساب المشروع وحقوق المساهمين</t>
  </si>
  <si>
    <t>اختر المشروع:</t>
  </si>
  <si>
    <t>التحصيلات الفعلية</t>
  </si>
  <si>
    <t>المصروفات</t>
  </si>
  <si>
    <t>تحويلات واردة</t>
  </si>
  <si>
    <t>تحويلات صادرة</t>
  </si>
  <si>
    <t>السيولة المتبقية (خزينة)</t>
  </si>
  <si>
    <t>حسابات المساهمين في هذا المشروع:</t>
  </si>
  <si>
    <t>لوحة التحكم والمؤشرات المالية</t>
  </si>
  <si>
    <t>عدد المشاريع النشطة</t>
  </si>
  <si>
    <t>إجمالي التحصيلات</t>
  </si>
  <si>
    <t>إجمالي الأرباح الصافية</t>
  </si>
  <si>
    <t>إجمالي التوزيعات للمساهمين</t>
  </si>
  <si>
    <t>إجمالي مسحوبات الإدارة</t>
  </si>
  <si>
    <t>إجمالي التحويلات (خارجة/داخلة)</t>
  </si>
  <si>
    <t>مؤشرات المبيعات والتحصيلات</t>
  </si>
  <si>
    <t>إجمالي المستحق للمساهمين (المتبقي)</t>
  </si>
  <si>
    <t>إجمالي المبيعات</t>
  </si>
  <si>
    <t>إجمالي تحصيلات المبيعات</t>
  </si>
  <si>
    <t>إجمالي الأقساط المتأخرة</t>
  </si>
  <si>
    <t>PRJ-004</t>
  </si>
  <si>
    <t>PRJ-005</t>
  </si>
  <si>
    <t>م ماجد تكييف</t>
  </si>
  <si>
    <t>شارع ابو شقره</t>
  </si>
  <si>
    <t/>
  </si>
  <si>
    <t>بالكامل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</si>
</sst>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#,##0;\-#,##0;&quot;&quot;"/>
    <numFmt numFmtId="166" formatCode="0.0%"/>
    <numFmt numFmtId="167" formatCode="m/d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1F497D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12233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E8EC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0" fillId="0" borderId="0" xfId="1" applyFont="1"/>
    <xf numFmtId="14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167" fontId="0" fillId="0" borderId="0" xfId="0" applyNumberFormat="1"/>
    <xf numFmtId="164" fontId="0" fillId="0" borderId="0" xfId="1" applyFont="1" applyFill="1"/>
    <xf numFmtId="164" fontId="0" fillId="0" borderId="0" xfId="1" applyNumberFormat="1" applyFont="1" applyFill="1"/>
    <xf numFmtId="1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9">
    <dxf>
      <numFmt numFmtId="1" formatCode="0"/>
    </dxf>
    <dxf>
      <numFmt numFmtId="1" formatCode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4" formatCode="_-* #,##0.00_-;\-* #,##0.00_-;_-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5;&#1604;&#1571;&#1602;&#1587;&#1575;&#1591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إعدادات"/>
      <sheetName val="المساهمون"/>
      <sheetName val="المشاريع"/>
      <sheetName val="مساهمات المشاريع"/>
      <sheetName val="التحصيلات"/>
      <sheetName val="المصروفات"/>
      <sheetName val="التوزيعات والمسحوبات"/>
      <sheetName val="كشف حساب المساهم"/>
      <sheetName val="كشف حساب المشروع"/>
      <sheetName val="نظام_إدارة_المشاريع_المتوافق"/>
      <sheetName val="RecoveredExternalLink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أقساط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bl_Investors" displayName="Tbl_Investors" ref="A2:D46" totalsRowShown="0">
  <autoFilter ref="A2:D46"/>
  <tableColumns count="4">
    <tableColumn id="1" name="كود المساهم"/>
    <tableColumn id="2" name="اسم المساهم"/>
    <tableColumn id="3" name="رقم الهاتف"/>
    <tableColumn id="4" name="ملاحظات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bl_Projects" displayName="Tbl_Projects" ref="A2:O8" totalsRowShown="0">
  <autoFilter ref="A2:O8"/>
  <tableColumns count="15">
    <tableColumn id="1" name="كود المشروع"/>
    <tableColumn id="2" name="اسم المشروع"/>
    <tableColumn id="3" name="نوع المشروع"/>
    <tableColumn id="4" name="تاريخ البداية"/>
    <tableColumn id="5" name="تاريخ النهاية"/>
    <tableColumn id="6" name="حالة المشروع"/>
    <tableColumn id="7" name="إجمالي رأس المال">
      <calculatedColumnFormula>SUMIFS(Tbl_Contributions[رأس مال المساهم], Tbl_Contributions[اسم المشروع], Tbl_Projects[[#This Row],[اسم المشروع]])</calculatedColumnFormula>
    </tableColumn>
    <tableColumn id="8" name="إجمالي التحصيل المتوقع"/>
    <tableColumn id="9" name="إجمالي التحصيل الفعلي">
      <calculatedColumnFormula>SUMIFS(Tbl_Collections[المبلغ], Tbl_Collections[المشروع], Tbl_Projects[[#This Row],[اسم المشروع]], Tbl_Collections[نوع التحصيل], "&lt;&gt;تحويل وارد")</calculatedColumnFormula>
    </tableColumn>
    <tableColumn id="10" name="التحويلات الواردة"/>
    <tableColumn id="11" name="التحويلات الصادرة">
      <calculatedColumnFormula>SUMIFS(Tbl_Distributions[المبلغ], Tbl_Distributions[المشروع المصدر], Tbl_Projects[[#This Row],[اسم المشروع]], Tbl_Distributions[نوع العملية], "تحويل بين المشاريع")</calculatedColumnFormula>
    </tableColumn>
    <tableColumn id="12" name="إجمالي المصروفات">
      <calculatedColumnFormula>SUMIFS(Tbl_Expenses[المبلغ], Tbl_Expenses[المشروع], Tbl_Projects[[#This Row],[اسم المشروع]])</calculatedColumnFormula>
    </tableColumn>
    <tableColumn id="13" name="صافي الربح">
      <calculatedColumnFormula>Tbl_Projects[[#This Row],[إجمالي التحصيل الفعلي]] - Tbl_Projects[[#This Row],[إجمالي رأس المال]] - Tbl_Projects[[#This Row],[إجمالي المصروفات]]</calculatedColumnFormula>
    </tableColumn>
    <tableColumn id="14" name="السيولة المتبقية بالمشروع">
      <calculatedColumnFormula>Tbl_Projects[[#This Row],[إجمالي التحصيل الفعلي]] + Tbl_Projects[[#This Row],[التحويلات الواردة]] - Tbl_Projects[[#This Row],[إجمالي المصروفات]] - Tbl_Projects[[#This Row],[التحويلات الصادرة]] - SUMIFS(Tbl_Distributions[المبلغ], Tbl_Distributions[المشروع المصدر], Tbl_Projects[[#This Row],[اسم المشروع]], Tbl_Distributions[نوع العملية], "&lt;&gt;تحويل بين المشاريع")</calculatedColumnFormula>
    </tableColumn>
    <tableColumn id="15" name="ملاحظات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Contributions" displayName="Tbl_Contributions" ref="A2:O67" totalsRowShown="0">
  <autoFilter ref="A2:O67"/>
  <tableColumns count="15">
    <tableColumn id="1" name="كود المشروع" dataDxfId="8" dataCellStyle="Comma">
      <calculatedColumnFormula>IFERROR(INDEX([1]!Tbl_Projects[كود المشروع], MATCH([1]!Tbl_Contributions[[#This Row],[اسم المشروع]], [1]!Tbl_Projects[اسم المشروع], 0)), "")</calculatedColumnFormula>
    </tableColumn>
    <tableColumn id="2" name="اسم المشروع" dataDxfId="7" dataCellStyle="Comma"/>
    <tableColumn id="3" name="كود المساهم" dataDxfId="6" dataCellStyle="Comma">
      <calculatedColumnFormula>IFERROR(INDEX([1]!Tbl_Investors[كود المساهم], MATCH([1]!Tbl_Contributions[[#This Row],[اسم المساهم]], [1]!Tbl_Investors[اسم المساهم], 0)), "")</calculatedColumnFormula>
    </tableColumn>
    <tableColumn id="4" name="اسم المساهم" dataDxfId="5" dataCellStyle="Comma"/>
    <tableColumn id="5" name="رأس مال المساهم" dataDxfId="4" dataCellStyle="Comma"/>
    <tableColumn id="6" name="نسبة مساهمته" dataDxfId="3" dataCellStyle="Comma">
      <calculatedColumnFormula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calculatedColumnFormula>
    </tableColumn>
    <tableColumn id="7" name="نسبة الإدارة الخاصة به" dataDxfId="2" dataCellStyle="Comma"/>
    <tableColumn id="8" name="حصة الربح قبل الإدارة" dataDxfId="1">
      <calculatedColumnFormula>IFERROR(INDEX(Tbl_Projects[صافي الربح], MATCH(Tbl_Contributions[[#This Row],[اسم المشروع]], Tbl_Projects[اسم المشروع], 0)) * Tbl_Contributions[[#This Row],[نسبة مساهمته]], 0)</calculatedColumnFormula>
    </tableColumn>
    <tableColumn id="9" name="نصيب الإدارة">
      <calculatedColumnFormula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calculatedColumnFormula>
    </tableColumn>
    <tableColumn id="10" name="صافي ربح المساهم" dataDxfId="0">
      <calculatedColumnFormula>Tbl_Contributions[[#This Row],[حصة الربح قبل الإدارة]] - Tbl_Contributions[[#This Row],[نصيب الإدارة]]</calculatedColumnFormula>
    </tableColumn>
    <tableColumn id="11" name="إجمالي المستحق للمساهم">
      <calculatedColumnFormula>Tbl_Contributions[[#This Row],[رأس مال المساهم]] + Tbl_Contributions[[#This Row],[صافي ربح المساهم]]</calculatedColumnFormula>
    </tableColumn>
    <tableColumn id="12" name="المسحوبات (تتضمن رد رأس المال والأرباح)">
      <calculatedColumnFormula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calculatedColumnFormula>
    </tableColumn>
    <tableColumn id="13" name="مسحوبات الإدارة (إن وجدت)">
      <calculatedColumnFormula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calculatedColumnFormula>
    </tableColumn>
    <tableColumn id="14" name="المتبقي للمساهم">
      <calculatedColumnFormula>Tbl_Contributions[[#This Row],[إجمالي المستحق للمساهم]] - Tbl_Contributions[[#This Row],[المسحوبات (تتضمن رد رأس المال والأرباح)]]</calculatedColumnFormula>
    </tableColumn>
    <tableColumn id="15" name="ملاحظات (تنبيه نسبة الإدارة)">
      <calculatedColumnFormula>IF(ISBLANK(Tbl_Contributions[[#This Row],[نسبة الإدارة الخاصة به]]), "تنبيه: نسبة الإدارة غير مسجلة", "مكتمل")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Tbl_Collections" displayName="Tbl_Collections" ref="A2:H11" totalsRowShown="0">
  <autoFilter ref="A2:H11"/>
  <tableColumns count="8">
    <tableColumn id="1" name="رقم العملية"/>
    <tableColumn id="2" name="التاريخ"/>
    <tableColumn id="3" name="المشروع"/>
    <tableColumn id="4" name="رقم الدفعة"/>
    <tableColumn id="5" name="المبلغ"/>
    <tableColumn id="6" name="نوع التحصيل"/>
    <tableColumn id="7" name="البيان"/>
    <tableColumn id="8" name="ملاحظات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5" name="Tbl_Expenses" displayName="Tbl_Expenses" ref="A2:F6" totalsRowShown="0">
  <autoFilter ref="A2:F6"/>
  <tableColumns count="6">
    <tableColumn id="1" name="التاريخ"/>
    <tableColumn id="2" name="المشروع"/>
    <tableColumn id="3" name="نوع المصروف"/>
    <tableColumn id="4" name="البيان"/>
    <tableColumn id="5" name="المبلغ"/>
    <tableColumn id="6" name="ملاحظات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Tbl_Distributions" displayName="Tbl_Distributions" ref="A2:K15" totalsRowShown="0">
  <autoFilter ref="A2:K15"/>
  <tableColumns count="11">
    <tableColumn id="1" name="رقم العملية"/>
    <tableColumn id="2" name="التاريخ"/>
    <tableColumn id="3" name="نوع العملية"/>
    <tableColumn id="4" name="المشروع المصدر"/>
    <tableColumn id="5" name="المشروع المستفيد (للتحويل)"/>
    <tableColumn id="6" name="المساهم"/>
    <tableColumn id="7" name="المبلغ"/>
    <tableColumn id="8" name="من حساب"/>
    <tableColumn id="9" name="إلى حساب"/>
    <tableColumn id="10" name="البيان"/>
    <tableColumn id="11" name="ملاحظات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workbookViewId="0">
      <selection activeCell="B5" sqref="B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B6" t="s">
        <v>20</v>
      </c>
      <c r="C6" t="s">
        <v>21</v>
      </c>
      <c r="D6" t="s">
        <v>22</v>
      </c>
    </row>
    <row r="7" spans="1:4" x14ac:dyDescent="0.25">
      <c r="B7" t="s">
        <v>23</v>
      </c>
      <c r="C7" t="s">
        <v>24</v>
      </c>
    </row>
    <row r="8" spans="1:4" x14ac:dyDescent="0.25">
      <c r="B8" t="s">
        <v>25</v>
      </c>
      <c r="C8" t="s">
        <v>26</v>
      </c>
    </row>
    <row r="9" spans="1:4" x14ac:dyDescent="0.25">
      <c r="C9" t="s">
        <v>27</v>
      </c>
    </row>
    <row r="10" spans="1:4" x14ac:dyDescent="0.25">
      <c r="C10" t="s">
        <v>28</v>
      </c>
    </row>
    <row r="11" spans="1:4" x14ac:dyDescent="0.25">
      <c r="C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6"/>
  <sheetViews>
    <sheetView rightToLeft="1" topLeftCell="A14" workbookViewId="0">
      <selection activeCell="B31" sqref="B31"/>
    </sheetView>
  </sheetViews>
  <sheetFormatPr defaultRowHeight="15" x14ac:dyDescent="0.25"/>
  <cols>
    <col min="1" max="4" width="20.7109375" customWidth="1"/>
  </cols>
  <sheetData>
    <row r="2" spans="1:4" x14ac:dyDescent="0.25">
      <c r="A2" t="s">
        <v>29</v>
      </c>
      <c r="B2" t="s">
        <v>30</v>
      </c>
      <c r="C2" t="s">
        <v>31</v>
      </c>
      <c r="D2" t="s">
        <v>32</v>
      </c>
    </row>
    <row r="3" spans="1:4" x14ac:dyDescent="0.25">
      <c r="A3" t="s">
        <v>33</v>
      </c>
      <c r="B3" t="s">
        <v>34</v>
      </c>
    </row>
    <row r="4" spans="1:4" x14ac:dyDescent="0.25">
      <c r="A4" t="s">
        <v>35</v>
      </c>
      <c r="B4" t="s">
        <v>36</v>
      </c>
    </row>
    <row r="5" spans="1:4" x14ac:dyDescent="0.25">
      <c r="A5" t="s">
        <v>37</v>
      </c>
      <c r="B5" t="s">
        <v>38</v>
      </c>
    </row>
    <row r="6" spans="1:4" x14ac:dyDescent="0.25">
      <c r="A6" t="s">
        <v>39</v>
      </c>
      <c r="B6" t="s">
        <v>40</v>
      </c>
    </row>
    <row r="7" spans="1:4" x14ac:dyDescent="0.25">
      <c r="A7" t="s">
        <v>41</v>
      </c>
      <c r="B7" t="s">
        <v>42</v>
      </c>
    </row>
    <row r="8" spans="1:4" x14ac:dyDescent="0.25">
      <c r="A8" t="s">
        <v>43</v>
      </c>
      <c r="B8" t="s">
        <v>44</v>
      </c>
    </row>
    <row r="9" spans="1:4" x14ac:dyDescent="0.25">
      <c r="A9" t="s">
        <v>45</v>
      </c>
      <c r="B9" t="s">
        <v>46</v>
      </c>
    </row>
    <row r="10" spans="1:4" x14ac:dyDescent="0.25">
      <c r="A10" t="s">
        <v>47</v>
      </c>
      <c r="B10" t="s">
        <v>48</v>
      </c>
    </row>
    <row r="11" spans="1:4" x14ac:dyDescent="0.25">
      <c r="A11" t="s">
        <v>49</v>
      </c>
      <c r="B11" t="s">
        <v>50</v>
      </c>
    </row>
    <row r="12" spans="1:4" x14ac:dyDescent="0.25">
      <c r="A12" t="s">
        <v>51</v>
      </c>
      <c r="B12" t="s">
        <v>52</v>
      </c>
    </row>
    <row r="13" spans="1:4" x14ac:dyDescent="0.25">
      <c r="A13" t="s">
        <v>53</v>
      </c>
      <c r="B13" t="s">
        <v>54</v>
      </c>
    </row>
    <row r="14" spans="1:4" x14ac:dyDescent="0.25">
      <c r="A14" t="s">
        <v>55</v>
      </c>
      <c r="B14" t="s">
        <v>56</v>
      </c>
    </row>
    <row r="15" spans="1:4" x14ac:dyDescent="0.25">
      <c r="A15" t="s">
        <v>57</v>
      </c>
      <c r="B15" t="s">
        <v>58</v>
      </c>
    </row>
    <row r="16" spans="1:4" x14ac:dyDescent="0.25">
      <c r="A16" t="s">
        <v>59</v>
      </c>
      <c r="B16" t="s">
        <v>60</v>
      </c>
    </row>
    <row r="17" spans="1:2" x14ac:dyDescent="0.25">
      <c r="A17" t="s">
        <v>61</v>
      </c>
      <c r="B17" t="s">
        <v>62</v>
      </c>
    </row>
    <row r="18" spans="1:2" x14ac:dyDescent="0.25">
      <c r="A18" t="s">
        <v>63</v>
      </c>
      <c r="B18" t="s">
        <v>64</v>
      </c>
    </row>
    <row r="19" spans="1:2" x14ac:dyDescent="0.25">
      <c r="A19" t="s">
        <v>65</v>
      </c>
      <c r="B19" t="s">
        <v>66</v>
      </c>
    </row>
    <row r="20" spans="1:2" x14ac:dyDescent="0.25">
      <c r="A20" t="s">
        <v>67</v>
      </c>
      <c r="B20" t="s">
        <v>68</v>
      </c>
    </row>
    <row r="21" spans="1:2" x14ac:dyDescent="0.25">
      <c r="A21" t="s">
        <v>69</v>
      </c>
      <c r="B21" t="s">
        <v>70</v>
      </c>
    </row>
    <row r="22" spans="1:2" x14ac:dyDescent="0.25">
      <c r="A22" t="s">
        <v>71</v>
      </c>
      <c r="B22" t="s">
        <v>72</v>
      </c>
    </row>
    <row r="23" spans="1:2" x14ac:dyDescent="0.25">
      <c r="A23" t="s">
        <v>73</v>
      </c>
      <c r="B23" t="s">
        <v>74</v>
      </c>
    </row>
    <row r="24" spans="1:2" x14ac:dyDescent="0.25">
      <c r="A24" t="s">
        <v>75</v>
      </c>
      <c r="B24" t="s">
        <v>76</v>
      </c>
    </row>
    <row r="25" spans="1:2" x14ac:dyDescent="0.25">
      <c r="A25" t="s">
        <v>77</v>
      </c>
      <c r="B25" t="s">
        <v>78</v>
      </c>
    </row>
    <row r="26" spans="1:2" x14ac:dyDescent="0.25">
      <c r="A26" t="s">
        <v>79</v>
      </c>
      <c r="B26" t="s">
        <v>80</v>
      </c>
    </row>
    <row r="27" spans="1:2" x14ac:dyDescent="0.25">
      <c r="A27" t="s">
        <v>81</v>
      </c>
      <c r="B27" t="s">
        <v>82</v>
      </c>
    </row>
    <row r="28" spans="1:2" x14ac:dyDescent="0.25">
      <c r="A28" t="s">
        <v>83</v>
      </c>
      <c r="B28" t="s">
        <v>84</v>
      </c>
    </row>
    <row r="29" spans="1:2" x14ac:dyDescent="0.25">
      <c r="A29" t="s">
        <v>85</v>
      </c>
      <c r="B29" t="s">
        <v>86</v>
      </c>
    </row>
    <row r="30" spans="1:2" x14ac:dyDescent="0.25">
      <c r="A30" t="s">
        <v>87</v>
      </c>
      <c r="B30" t="s">
        <v>251</v>
      </c>
    </row>
    <row r="31" spans="1:2" x14ac:dyDescent="0.25">
      <c r="A31" t="s">
        <v>88</v>
      </c>
    </row>
    <row r="32" spans="1:2" x14ac:dyDescent="0.25">
      <c r="A32" t="s">
        <v>89</v>
      </c>
    </row>
    <row r="33" spans="1:1" x14ac:dyDescent="0.25">
      <c r="A33" t="s">
        <v>90</v>
      </c>
    </row>
    <row r="34" spans="1:1" x14ac:dyDescent="0.25">
      <c r="A34" t="s">
        <v>91</v>
      </c>
    </row>
    <row r="35" spans="1:1" x14ac:dyDescent="0.25">
      <c r="A35" t="s">
        <v>92</v>
      </c>
    </row>
    <row r="36" spans="1:1" x14ac:dyDescent="0.25">
      <c r="A36" t="s">
        <v>93</v>
      </c>
    </row>
    <row r="37" spans="1:1" x14ac:dyDescent="0.25">
      <c r="A37" t="s">
        <v>94</v>
      </c>
    </row>
    <row r="38" spans="1:1" x14ac:dyDescent="0.25">
      <c r="A38" t="s">
        <v>95</v>
      </c>
    </row>
    <row r="39" spans="1:1" x14ac:dyDescent="0.25">
      <c r="A39" t="s">
        <v>96</v>
      </c>
    </row>
    <row r="40" spans="1:1" x14ac:dyDescent="0.25">
      <c r="A40" t="s">
        <v>97</v>
      </c>
    </row>
    <row r="41" spans="1:1" x14ac:dyDescent="0.25">
      <c r="A41" t="s">
        <v>98</v>
      </c>
    </row>
    <row r="42" spans="1:1" x14ac:dyDescent="0.25">
      <c r="A42" t="s">
        <v>99</v>
      </c>
    </row>
    <row r="43" spans="1:1" x14ac:dyDescent="0.25">
      <c r="A43" t="s">
        <v>100</v>
      </c>
    </row>
    <row r="44" spans="1:1" x14ac:dyDescent="0.25">
      <c r="A44" t="s">
        <v>101</v>
      </c>
    </row>
    <row r="45" spans="1:1" x14ac:dyDescent="0.25">
      <c r="A45" t="s">
        <v>102</v>
      </c>
    </row>
    <row r="46" spans="1:1" x14ac:dyDescent="0.25">
      <c r="A46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99"/>
  <sheetViews>
    <sheetView showGridLines="0" rightToLeft="1"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12.7109375" customWidth="1"/>
    <col min="2" max="2" width="20.7109375" customWidth="1"/>
    <col min="3" max="15" width="15.7109375" customWidth="1"/>
    <col min="16" max="20" width="20" customWidth="1"/>
  </cols>
  <sheetData>
    <row r="2" spans="1:20" x14ac:dyDescent="0.2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32</v>
      </c>
      <c r="P2" s="7" t="s">
        <v>118</v>
      </c>
      <c r="Q2" s="7" t="s">
        <v>119</v>
      </c>
      <c r="R2" s="7" t="s">
        <v>120</v>
      </c>
      <c r="S2" s="7" t="s">
        <v>121</v>
      </c>
      <c r="T2" s="7" t="s">
        <v>122</v>
      </c>
    </row>
    <row r="3" spans="1:20" x14ac:dyDescent="0.25">
      <c r="A3" t="s">
        <v>123</v>
      </c>
      <c r="B3" t="s">
        <v>124</v>
      </c>
      <c r="C3" t="s">
        <v>125</v>
      </c>
      <c r="D3">
        <v>45901</v>
      </c>
      <c r="E3">
        <v>46446</v>
      </c>
      <c r="F3" t="s">
        <v>8</v>
      </c>
      <c r="G3">
        <f>SUMIFS(Tbl_Contributions[رأس مال المساهم], Tbl_Contributions[اسم المشروع], Tbl_Projects[[#This Row],[اسم المشروع]])</f>
        <v>15000000</v>
      </c>
      <c r="H3">
        <v>0</v>
      </c>
      <c r="I3">
        <f>SUMIFS(Tbl_Collections[المبلغ], Tbl_Collections[المشروع], Tbl_Projects[[#This Row],[اسم المشروع]], Tbl_Collections[نوع التحصيل], "&lt;&gt;تحويل وارد")</f>
        <v>8569000</v>
      </c>
      <c r="J3" t="e">
        <f>SUMIFS(Tbl_Distributions[المبلغ],#REF!, Tbl_Projects[[#This Row],[اسم المشروع]], Tbl_Distributions[نوع العملية], "تحويل بين المشاريع")</f>
        <v>#REF!</v>
      </c>
      <c r="K3">
        <f>SUMIFS(Tbl_Distributions[المبلغ], Tbl_Distributions[المشروع المصدر], Tbl_Projects[[#This Row],[اسم المشروع]], Tbl_Distributions[نوع العملية], "تحويل بين المشاريع")</f>
        <v>0</v>
      </c>
      <c r="L3">
        <f>SUMIFS(Tbl_Expenses[المبلغ], Tbl_Expenses[المشروع], Tbl_Projects[[#This Row],[اسم المشروع]])</f>
        <v>0</v>
      </c>
      <c r="M3">
        <f>Tbl_Projects[[#This Row],[إجمالي التحصيل الفعلي]] - Tbl_Projects[[#This Row],[إجمالي رأس المال]] - Tbl_Projects[[#This Row],[إجمالي المصروفات]]</f>
        <v>-6431000</v>
      </c>
      <c r="N3" t="e">
        <f>Tbl_Projects[[#This Row],[إجمالي التحصيل الفعلي]] + Tbl_Projects[[#This Row],[التحويلات الواردة]] - Tbl_Projects[[#This Row],[إجمالي المصروفات]] - Tbl_Projects[[#This Row],[التحويلات الصادرة]] - SUMIFS(Tbl_Distributions[المبلغ], Tbl_Distributions[المشروع المصدر], Tbl_Projects[[#This Row],[اسم المشروع]], Tbl_Distributions[نوع العملية], "&lt;&gt;تحويل بين المشاريع")</f>
        <v>#REF!</v>
      </c>
      <c r="P3">
        <f>IF(A3="","", SUMIFS(المبيعات!$G:$G, المبيعات!$B:$B, A3))</f>
        <v>0</v>
      </c>
      <c r="Q3">
        <f>IF(A3="","", SUMIFS(المبيعات!$G:$G, المبيعات!$B:$B, A3, المبيعات!$H:$H, "كاش"))</f>
        <v>0</v>
      </c>
      <c r="R3">
        <f>IF(A3="","", SUMIFS(المبيعات!$G:$G, المبيعات!$B:$B, A3, المبيعات!$H:$H, "تقسيط"))</f>
        <v>0</v>
      </c>
      <c r="S3">
        <f>IF(A3="","", SUMIFS(المبيعات!$O:$O, المبيعات!$B:$B, A3))</f>
        <v>0</v>
      </c>
      <c r="T3">
        <f t="shared" ref="T3:T5" si="0">IF(A3="","", P3 - S3)</f>
        <v>0</v>
      </c>
    </row>
    <row r="4" spans="1:20" x14ac:dyDescent="0.25">
      <c r="A4" t="s">
        <v>126</v>
      </c>
      <c r="B4" t="s">
        <v>127</v>
      </c>
      <c r="C4" t="s">
        <v>128</v>
      </c>
      <c r="D4">
        <v>45658</v>
      </c>
      <c r="E4">
        <v>46752</v>
      </c>
      <c r="F4" t="s">
        <v>16</v>
      </c>
      <c r="G4">
        <f>SUMIFS(Tbl_Contributions[رأس مال المساهم], Tbl_Contributions[اسم المشروع], Tbl_Projects[[#This Row],[اسم المشروع]])</f>
        <v>13000000</v>
      </c>
      <c r="I4">
        <f>SUMIFS(Tbl_Collections[المبلغ], Tbl_Collections[المشروع], Tbl_Projects[[#This Row],[اسم المشروع]], Tbl_Collections[نوع التحصيل], "&lt;&gt;تحويل وارد")</f>
        <v>0</v>
      </c>
      <c r="K4">
        <f>SUMIFS(Tbl_Distributions[المبلغ], Tbl_Distributions[المشروع المصدر], Tbl_Projects[[#This Row],[اسم المشروع]], Tbl_Distributions[نوع العملية], "تحويل بين المشاريع")</f>
        <v>0</v>
      </c>
      <c r="L4">
        <f>SUMIFS(Tbl_Expenses[المبلغ], Tbl_Expenses[المشروع], Tbl_Projects[[#This Row],[اسم المشروع]])</f>
        <v>0</v>
      </c>
      <c r="M4">
        <f>Tbl_Projects[[#This Row],[إجمالي التحصيل الفعلي]] - Tbl_Projects[[#This Row],[إجمالي رأس المال]] - Tbl_Projects[[#This Row],[إجمالي المصروفات]]</f>
        <v>-13000000</v>
      </c>
      <c r="N4">
        <f>Tbl_Projects[[#This Row],[إجمالي التحصيل الفعلي]] + Tbl_Projects[[#This Row],[التحويلات الواردة]] - Tbl_Projects[[#This Row],[إجمالي المصروفات]] - Tbl_Projects[[#This Row],[التحويلات الصادرة]] - SUMIFS(Tbl_Distributions[المبلغ], Tbl_Distributions[المشروع المصدر], Tbl_Projects[[#This Row],[اسم المشروع]], Tbl_Distributions[نوع العملية], "&lt;&gt;تحويل بين المشاريع")</f>
        <v>0</v>
      </c>
      <c r="P4">
        <f>IF(A4="","", SUMIFS(المبيعات!$G:$G, المبيعات!$B:$B, A4))</f>
        <v>0</v>
      </c>
      <c r="Q4">
        <f>IF(A4="","", SUMIFS(المبيعات!$G:$G, المبيعات!$B:$B, A4, المبيعات!$H:$H, "كاش"))</f>
        <v>0</v>
      </c>
      <c r="R4">
        <f>IF(A4="","", SUMIFS(المبيعات!$G:$G, المبيعات!$B:$B, A4, المبيعات!$H:$H, "تقسيط"))</f>
        <v>0</v>
      </c>
      <c r="S4">
        <f>IF(A4="","", SUMIFS(المبيعات!$O:$O, المبيعات!$B:$B, A4))</f>
        <v>0</v>
      </c>
      <c r="T4">
        <f t="shared" si="0"/>
        <v>0</v>
      </c>
    </row>
    <row r="5" spans="1:20" x14ac:dyDescent="0.25">
      <c r="A5" t="s">
        <v>129</v>
      </c>
      <c r="B5" t="s">
        <v>130</v>
      </c>
      <c r="C5" t="s">
        <v>128</v>
      </c>
      <c r="D5">
        <v>46023</v>
      </c>
      <c r="E5">
        <v>46568</v>
      </c>
      <c r="F5" t="s">
        <v>8</v>
      </c>
      <c r="G5">
        <f>SUMIFS(Tbl_Contributions[رأس مال المساهم], Tbl_Contributions[اسم المشروع], Tbl_Projects[[#This Row],[اسم المشروع]])</f>
        <v>5000000.01</v>
      </c>
      <c r="I5">
        <f>SUMIFS(Tbl_Collections[المبلغ], Tbl_Collections[المشروع], Tbl_Projects[[#This Row],[اسم المشروع]], Tbl_Collections[نوع التحصيل], "&lt;&gt;تحويل وارد")</f>
        <v>0</v>
      </c>
      <c r="K5">
        <f>SUMIFS(Tbl_Distributions[المبلغ], Tbl_Distributions[المشروع المصدر], Tbl_Projects[[#This Row],[اسم المشروع]], Tbl_Distributions[نوع العملية], "تحويل بين المشاريع")</f>
        <v>0</v>
      </c>
      <c r="L5">
        <f>SUMIFS(Tbl_Expenses[المبلغ], Tbl_Expenses[المشروع], Tbl_Projects[[#This Row],[اسم المشروع]])</f>
        <v>0</v>
      </c>
      <c r="M5">
        <f>Tbl_Projects[[#This Row],[إجمالي التحصيل الفعلي]] - Tbl_Projects[[#This Row],[إجمالي رأس المال]] - Tbl_Projects[[#This Row],[إجمالي المصروفات]]</f>
        <v>-5000000.01</v>
      </c>
      <c r="N5">
        <f>Tbl_Projects[[#This Row],[إجمالي التحصيل الفعلي]] + Tbl_Projects[[#This Row],[التحويلات الواردة]] - Tbl_Projects[[#This Row],[إجمالي المصروفات]] - Tbl_Projects[[#This Row],[التحويلات الصادرة]] - SUMIFS(Tbl_Distributions[المبلغ], Tbl_Distributions[المشروع المصدر], Tbl_Projects[[#This Row],[اسم المشروع]], Tbl_Distributions[نوع العملية], "&lt;&gt;تحويل بين المشاريع")</f>
        <v>0</v>
      </c>
      <c r="P5">
        <f>IF(A5="","", SUMIFS(المبيعات!$G:$G, المبيعات!$B:$B, A5))</f>
        <v>0</v>
      </c>
      <c r="Q5">
        <f>IF(A5="","", SUMIFS(المبيعات!$G:$G, المبيعات!$B:$B, A5, المبيعات!$H:$H, "كاش"))</f>
        <v>0</v>
      </c>
      <c r="R5">
        <f>IF(A5="","", SUMIFS(المبيعات!$G:$G, المبيعات!$B:$B, A5, المبيعات!$H:$H, "تقسيط"))</f>
        <v>0</v>
      </c>
      <c r="S5">
        <f>IF(A5="","", SUMIFS(المبيعات!$O:$O, المبيعات!$B:$B, A5))</f>
        <v>0</v>
      </c>
      <c r="T5">
        <f t="shared" si="0"/>
        <v>0</v>
      </c>
    </row>
    <row r="6" spans="1:20" x14ac:dyDescent="0.25">
      <c r="A6" t="s">
        <v>249</v>
      </c>
      <c r="B6" t="s">
        <v>191</v>
      </c>
      <c r="C6" t="s">
        <v>128</v>
      </c>
      <c r="D6" s="6">
        <v>46054</v>
      </c>
      <c r="E6" s="10">
        <v>46259</v>
      </c>
      <c r="F6" t="s">
        <v>12</v>
      </c>
      <c r="G6">
        <f>SUMIFS(Tbl_Contributions[رأس مال المساهم], Tbl_Contributions[اسم المشروع], Tbl_Projects[[#This Row],[اسم المشروع]])</f>
        <v>3100000</v>
      </c>
      <c r="I6">
        <f>SUMIFS(Tbl_Collections[المبلغ], Tbl_Collections[المشروع], Tbl_Projects[[#This Row],[اسم المشروع]], Tbl_Collections[نوع التحصيل], "&lt;&gt;تحويل وارد")</f>
        <v>4000000</v>
      </c>
      <c r="K6">
        <f>SUMIFS(Tbl_Distributions[المبلغ], Tbl_Distributions[المشروع المصدر], Tbl_Projects[[#This Row],[اسم المشروع]], Tbl_Distributions[نوع العملية], "تحويل بين المشاريع")</f>
        <v>0</v>
      </c>
      <c r="L6">
        <f>SUMIFS(Tbl_Expenses[المبلغ], Tbl_Expenses[المشروع], Tbl_Projects[[#This Row],[اسم المشروع]])</f>
        <v>180000</v>
      </c>
      <c r="M6">
        <f>Tbl_Projects[[#This Row],[إجمالي التحصيل الفعلي]] - Tbl_Projects[[#This Row],[إجمالي رأس المال]] - Tbl_Projects[[#This Row],[إجمالي المصروفات]]</f>
        <v>720000</v>
      </c>
      <c r="N6">
        <f>Tbl_Projects[[#This Row],[إجمالي التحصيل الفعلي]] + Tbl_Projects[[#This Row],[التحويلات الواردة]] - Tbl_Projects[[#This Row],[إجمالي المصروفات]] - Tbl_Projects[[#This Row],[التحويلات الصادرة]] - SUMIFS(Tbl_Distributions[المبلغ], Tbl_Distributions[المشروع المصدر], Tbl_Projects[[#This Row],[اسم المشروع]], Tbl_Distributions[نوع العملية], "&lt;&gt;تحويل بين المشاريع")</f>
        <v>3820000</v>
      </c>
      <c r="P6" t="str">
        <f>IF(A9="","", SUMIFS(المبيعات!$G:$G, المبيعات!$B:$B, A9))</f>
        <v/>
      </c>
      <c r="Q6" t="str">
        <f>IF(A9="","", SUMIFS(المبيعات!$G:$G, المبيعات!$B:$B, A9, المبيعات!$H:$H, "كاش"))</f>
        <v/>
      </c>
      <c r="R6" t="str">
        <f>IF(A9="","", SUMIFS(المبيعات!$G:$G, المبيعات!$B:$B, A9, المبيعات!$H:$H, "تقسيط"))</f>
        <v/>
      </c>
      <c r="S6" t="str">
        <f>IF(A9="","", SUMIFS(المبيعات!$O:$O, المبيعات!$B:$B, A9))</f>
        <v/>
      </c>
      <c r="T6" t="str">
        <f t="shared" ref="T6:T37" si="1">IF(A9="","", P6 - S6)</f>
        <v/>
      </c>
    </row>
    <row r="7" spans="1:20" x14ac:dyDescent="0.25">
      <c r="A7" t="s">
        <v>250</v>
      </c>
      <c r="B7" t="s">
        <v>252</v>
      </c>
      <c r="C7" t="s">
        <v>128</v>
      </c>
      <c r="D7" s="6">
        <v>46188</v>
      </c>
      <c r="E7" s="10">
        <v>46752</v>
      </c>
      <c r="F7" t="s">
        <v>8</v>
      </c>
      <c r="G7">
        <f>SUMIFS(Tbl_Contributions[رأس مال المساهم], Tbl_Contributions[اسم المشروع], Tbl_Projects[[#This Row],[اسم المشروع]])</f>
        <v>5500000</v>
      </c>
      <c r="I7">
        <f>SUMIFS(Tbl_Collections[المبلغ], Tbl_Collections[المشروع], Tbl_Projects[[#This Row],[اسم المشروع]], Tbl_Collections[نوع التحصيل], "&lt;&gt;تحويل وارد")</f>
        <v>0</v>
      </c>
      <c r="K7">
        <f>SUMIFS(Tbl_Distributions[المبلغ], Tbl_Distributions[المشروع المصدر], Tbl_Projects[[#This Row],[اسم المشروع]], Tbl_Distributions[نوع العملية], "تحويل بين المشاريع")</f>
        <v>0</v>
      </c>
      <c r="L7">
        <f>SUMIFS(Tbl_Expenses[المبلغ], Tbl_Expenses[المشروع], Tbl_Projects[[#This Row],[اسم المشروع]])</f>
        <v>0</v>
      </c>
      <c r="M7">
        <f>Tbl_Projects[[#This Row],[إجمالي التحصيل الفعلي]] - Tbl_Projects[[#This Row],[إجمالي رأس المال]] - Tbl_Projects[[#This Row],[إجمالي المصروفات]]</f>
        <v>-5500000</v>
      </c>
      <c r="N7">
        <f>Tbl_Projects[[#This Row],[إجمالي التحصيل الفعلي]] + Tbl_Projects[[#This Row],[التحويلات الواردة]] - Tbl_Projects[[#This Row],[إجمالي المصروفات]] - Tbl_Projects[[#This Row],[التحويلات الصادرة]] - SUMIFS(Tbl_Distributions[المبلغ], Tbl_Distributions[المشروع المصدر], Tbl_Projects[[#This Row],[اسم المشروع]], Tbl_Distributions[نوع العملية], "&lt;&gt;تحويل بين المشاريع")</f>
        <v>0</v>
      </c>
      <c r="P7" t="str">
        <f>IF(A10="","", SUMIFS(المبيعات!$G:$G, المبيعات!$B:$B, A10))</f>
        <v/>
      </c>
      <c r="Q7" t="str">
        <f>IF(A10="","", SUMIFS(المبيعات!$G:$G, المبيعات!$B:$B, A10, المبيعات!$H:$H, "كاش"))</f>
        <v/>
      </c>
      <c r="R7" t="str">
        <f>IF(A10="","", SUMIFS(المبيعات!$G:$G, المبيعات!$B:$B, A10, المبيعات!$H:$H, "تقسيط"))</f>
        <v/>
      </c>
      <c r="S7" t="str">
        <f>IF(A10="","", SUMIFS(المبيعات!$O:$O, المبيعات!$B:$B, A10))</f>
        <v/>
      </c>
      <c r="T7" t="str">
        <f t="shared" si="1"/>
        <v/>
      </c>
    </row>
    <row r="8" spans="1:20" x14ac:dyDescent="0.25">
      <c r="D8" s="6"/>
      <c r="E8" s="10"/>
      <c r="G8">
        <f>SUMIFS(Tbl_Contributions[رأس مال المساهم], Tbl_Contributions[اسم المشروع], Tbl_Projects[[#This Row],[اسم المشروع]])</f>
        <v>0</v>
      </c>
      <c r="I8">
        <f>SUMIFS(Tbl_Collections[المبلغ], Tbl_Collections[المشروع], Tbl_Projects[[#This Row],[اسم المشروع]], Tbl_Collections[نوع التحصيل], "&lt;&gt;تحويل وارد")</f>
        <v>0</v>
      </c>
      <c r="K8">
        <f>SUMIFS(Tbl_Distributions[المبلغ], Tbl_Distributions[المشروع المصدر], Tbl_Projects[[#This Row],[اسم المشروع]], Tbl_Distributions[نوع العملية], "تحويل بين المشاريع")</f>
        <v>0</v>
      </c>
      <c r="L8">
        <f>SUMIFS(Tbl_Expenses[المبلغ], Tbl_Expenses[المشروع], Tbl_Projects[[#This Row],[اسم المشروع]])</f>
        <v>0</v>
      </c>
      <c r="M8">
        <f>Tbl_Projects[[#This Row],[إجمالي التحصيل الفعلي]] - Tbl_Projects[[#This Row],[إجمالي رأس المال]] - Tbl_Projects[[#This Row],[إجمالي المصروفات]]</f>
        <v>0</v>
      </c>
      <c r="N8">
        <f>Tbl_Projects[[#This Row],[إجمالي التحصيل الفعلي]] + Tbl_Projects[[#This Row],[التحويلات الواردة]] - Tbl_Projects[[#This Row],[إجمالي المصروفات]] - Tbl_Projects[[#This Row],[التحويلات الصادرة]] - SUMIFS(Tbl_Distributions[المبلغ], Tbl_Distributions[المشروع المصدر], Tbl_Projects[[#This Row],[اسم المشروع]], Tbl_Distributions[نوع العملية], "&lt;&gt;تحويل بين المشاريع")</f>
        <v>0</v>
      </c>
      <c r="P8" t="str">
        <f>IF(A11="","", SUMIFS(المبيعات!$G:$G, المبيعات!$B:$B, A11))</f>
        <v/>
      </c>
      <c r="Q8" t="str">
        <f>IF(A11="","", SUMIFS(المبيعات!$G:$G, المبيعات!$B:$B, A11, المبيعات!$H:$H, "كاش"))</f>
        <v/>
      </c>
      <c r="R8" t="str">
        <f>IF(A11="","", SUMIFS(المبيعات!$G:$G, المبيعات!$B:$B, A11, المبيعات!$H:$H, "تقسيط"))</f>
        <v/>
      </c>
      <c r="S8" t="str">
        <f>IF(A11="","", SUMIFS(المبيعات!$O:$O, المبيعات!$B:$B, A11))</f>
        <v/>
      </c>
      <c r="T8" t="str">
        <f t="shared" si="1"/>
        <v/>
      </c>
    </row>
    <row r="9" spans="1:20" x14ac:dyDescent="0.25">
      <c r="F9" t="s">
        <v>8</v>
      </c>
      <c r="J9">
        <v>0</v>
      </c>
      <c r="K9">
        <v>0</v>
      </c>
      <c r="L9">
        <v>0</v>
      </c>
      <c r="P9" t="str">
        <f>IF(A12="","", SUMIFS(المبيعات!$G:$G, المبيعات!$B:$B, A12))</f>
        <v/>
      </c>
      <c r="Q9" t="str">
        <f>IF(A12="","", SUMIFS(المبيعات!$G:$G, المبيعات!$B:$B, A12, المبيعات!$H:$H, "كاش"))</f>
        <v/>
      </c>
      <c r="R9" t="str">
        <f>IF(A12="","", SUMIFS(المبيعات!$G:$G, المبيعات!$B:$B, A12, المبيعات!$H:$H, "تقسيط"))</f>
        <v/>
      </c>
      <c r="S9" t="str">
        <f>IF(A12="","", SUMIFS(المبيعات!$O:$O, المبيعات!$B:$B, A12))</f>
        <v/>
      </c>
      <c r="T9" t="str">
        <f t="shared" si="1"/>
        <v/>
      </c>
    </row>
    <row r="10" spans="1:20" x14ac:dyDescent="0.25">
      <c r="P10" t="str">
        <f>IF(A13="","", SUMIFS(المبيعات!$G:$G, المبيعات!$B:$B, A13))</f>
        <v/>
      </c>
      <c r="Q10" t="str">
        <f>IF(A13="","", SUMIFS(المبيعات!$G:$G, المبيعات!$B:$B, A13, المبيعات!$H:$H, "كاش"))</f>
        <v/>
      </c>
      <c r="R10" t="str">
        <f>IF(A13="","", SUMIFS(المبيعات!$G:$G, المبيعات!$B:$B, A13, المبيعات!$H:$H, "تقسيط"))</f>
        <v/>
      </c>
      <c r="S10" t="str">
        <f>IF(A13="","", SUMIFS(المبيعات!$O:$O, المبيعات!$B:$B, A13))</f>
        <v/>
      </c>
      <c r="T10" t="str">
        <f t="shared" si="1"/>
        <v/>
      </c>
    </row>
    <row r="11" spans="1:20" x14ac:dyDescent="0.25">
      <c r="P11" t="str">
        <f>IF(A14="","", SUMIFS(المبيعات!$G:$G, المبيعات!$B:$B, A14))</f>
        <v/>
      </c>
      <c r="Q11" t="str">
        <f>IF(A14="","", SUMIFS(المبيعات!$G:$G, المبيعات!$B:$B, A14, المبيعات!$H:$H, "كاش"))</f>
        <v/>
      </c>
      <c r="R11" t="str">
        <f>IF(A14="","", SUMIFS(المبيعات!$G:$G, المبيعات!$B:$B, A14, المبيعات!$H:$H, "تقسيط"))</f>
        <v/>
      </c>
      <c r="S11" t="str">
        <f>IF(A14="","", SUMIFS(المبيعات!$O:$O, المبيعات!$B:$B, A14))</f>
        <v/>
      </c>
      <c r="T11" t="str">
        <f t="shared" si="1"/>
        <v/>
      </c>
    </row>
    <row r="12" spans="1:20" x14ac:dyDescent="0.25">
      <c r="P12" t="str">
        <f>IF(A15="","", SUMIFS(المبيعات!$G:$G, المبيعات!$B:$B, A15))</f>
        <v/>
      </c>
      <c r="Q12" t="str">
        <f>IF(A15="","", SUMIFS(المبيعات!$G:$G, المبيعات!$B:$B, A15, المبيعات!$H:$H, "كاش"))</f>
        <v/>
      </c>
      <c r="R12" t="str">
        <f>IF(A15="","", SUMIFS(المبيعات!$G:$G, المبيعات!$B:$B, A15, المبيعات!$H:$H, "تقسيط"))</f>
        <v/>
      </c>
      <c r="S12" t="str">
        <f>IF(A15="","", SUMIFS(المبيعات!$O:$O, المبيعات!$B:$B, A15))</f>
        <v/>
      </c>
      <c r="T12" t="str">
        <f t="shared" si="1"/>
        <v/>
      </c>
    </row>
    <row r="13" spans="1:20" x14ac:dyDescent="0.25">
      <c r="P13" t="str">
        <f>IF(A16="","", SUMIFS(المبيعات!$G:$G, المبيعات!$B:$B, A16))</f>
        <v/>
      </c>
      <c r="Q13" t="str">
        <f>IF(A16="","", SUMIFS(المبيعات!$G:$G, المبيعات!$B:$B, A16, المبيعات!$H:$H, "كاش"))</f>
        <v/>
      </c>
      <c r="R13" t="str">
        <f>IF(A16="","", SUMIFS(المبيعات!$G:$G, المبيعات!$B:$B, A16, المبيعات!$H:$H, "تقسيط"))</f>
        <v/>
      </c>
      <c r="S13" t="str">
        <f>IF(A16="","", SUMIFS(المبيعات!$O:$O, المبيعات!$B:$B, A16))</f>
        <v/>
      </c>
      <c r="T13" t="str">
        <f t="shared" si="1"/>
        <v/>
      </c>
    </row>
    <row r="14" spans="1:20" x14ac:dyDescent="0.25">
      <c r="P14" t="str">
        <f>IF(A17="","", SUMIFS(المبيعات!$G:$G, المبيعات!$B:$B, A17))</f>
        <v/>
      </c>
      <c r="Q14" t="str">
        <f>IF(A17="","", SUMIFS(المبيعات!$G:$G, المبيعات!$B:$B, A17, المبيعات!$H:$H, "كاش"))</f>
        <v/>
      </c>
      <c r="R14" t="str">
        <f>IF(A17="","", SUMIFS(المبيعات!$G:$G, المبيعات!$B:$B, A17, المبيعات!$H:$H, "تقسيط"))</f>
        <v/>
      </c>
      <c r="S14" t="str">
        <f>IF(A17="","", SUMIFS(المبيعات!$O:$O, المبيعات!$B:$B, A17))</f>
        <v/>
      </c>
      <c r="T14" t="str">
        <f t="shared" si="1"/>
        <v/>
      </c>
    </row>
    <row r="15" spans="1:20" x14ac:dyDescent="0.25">
      <c r="P15" t="str">
        <f>IF(A18="","", SUMIFS(المبيعات!$G:$G, المبيعات!$B:$B, A18))</f>
        <v/>
      </c>
      <c r="Q15" t="str">
        <f>IF(A18="","", SUMIFS(المبيعات!$G:$G, المبيعات!$B:$B, A18, المبيعات!$H:$H, "كاش"))</f>
        <v/>
      </c>
      <c r="R15" t="str">
        <f>IF(A18="","", SUMIFS(المبيعات!$G:$G, المبيعات!$B:$B, A18, المبيعات!$H:$H, "تقسيط"))</f>
        <v/>
      </c>
      <c r="S15" t="str">
        <f>IF(A18="","", SUMIFS(المبيعات!$O:$O, المبيعات!$B:$B, A18))</f>
        <v/>
      </c>
      <c r="T15" t="str">
        <f t="shared" si="1"/>
        <v/>
      </c>
    </row>
    <row r="16" spans="1:20" x14ac:dyDescent="0.25">
      <c r="P16" t="str">
        <f>IF(A19="","", SUMIFS(المبيعات!$G:$G, المبيعات!$B:$B, A19))</f>
        <v/>
      </c>
      <c r="Q16" t="str">
        <f>IF(A19="","", SUMIFS(المبيعات!$G:$G, المبيعات!$B:$B, A19, المبيعات!$H:$H, "كاش"))</f>
        <v/>
      </c>
      <c r="R16" t="str">
        <f>IF(A19="","", SUMIFS(المبيعات!$G:$G, المبيعات!$B:$B, A19, المبيعات!$H:$H, "تقسيط"))</f>
        <v/>
      </c>
      <c r="S16" t="str">
        <f>IF(A19="","", SUMIFS(المبيعات!$O:$O, المبيعات!$B:$B, A19))</f>
        <v/>
      </c>
      <c r="T16" t="str">
        <f t="shared" si="1"/>
        <v/>
      </c>
    </row>
    <row r="17" spans="16:20" x14ac:dyDescent="0.25">
      <c r="P17" t="str">
        <f>IF(A20="","", SUMIFS(المبيعات!$G:$G, المبيعات!$B:$B, A20))</f>
        <v/>
      </c>
      <c r="Q17" t="str">
        <f>IF(A20="","", SUMIFS(المبيعات!$G:$G, المبيعات!$B:$B, A20, المبيعات!$H:$H, "كاش"))</f>
        <v/>
      </c>
      <c r="R17" t="str">
        <f>IF(A20="","", SUMIFS(المبيعات!$G:$G, المبيعات!$B:$B, A20, المبيعات!$H:$H, "تقسيط"))</f>
        <v/>
      </c>
      <c r="S17" t="str">
        <f>IF(A20="","", SUMIFS(المبيعات!$O:$O, المبيعات!$B:$B, A20))</f>
        <v/>
      </c>
      <c r="T17" t="str">
        <f t="shared" si="1"/>
        <v/>
      </c>
    </row>
    <row r="18" spans="16:20" x14ac:dyDescent="0.25">
      <c r="P18" t="str">
        <f>IF(A21="","", SUMIFS(المبيعات!$G:$G, المبيعات!$B:$B, A21))</f>
        <v/>
      </c>
      <c r="Q18" t="str">
        <f>IF(A21="","", SUMIFS(المبيعات!$G:$G, المبيعات!$B:$B, A21, المبيعات!$H:$H, "كاش"))</f>
        <v/>
      </c>
      <c r="R18" t="str">
        <f>IF(A21="","", SUMIFS(المبيعات!$G:$G, المبيعات!$B:$B, A21, المبيعات!$H:$H, "تقسيط"))</f>
        <v/>
      </c>
      <c r="S18" t="str">
        <f>IF(A21="","", SUMIFS(المبيعات!$O:$O, المبيعات!$B:$B, A21))</f>
        <v/>
      </c>
      <c r="T18" t="str">
        <f t="shared" si="1"/>
        <v/>
      </c>
    </row>
    <row r="19" spans="16:20" x14ac:dyDescent="0.25">
      <c r="P19" t="str">
        <f>IF(A22="","", SUMIFS(المبيعات!$G:$G, المبيعات!$B:$B, A22))</f>
        <v/>
      </c>
      <c r="Q19" t="str">
        <f>IF(A22="","", SUMIFS(المبيعات!$G:$G, المبيعات!$B:$B, A22, المبيعات!$H:$H, "كاش"))</f>
        <v/>
      </c>
      <c r="R19" t="str">
        <f>IF(A22="","", SUMIFS(المبيعات!$G:$G, المبيعات!$B:$B, A22, المبيعات!$H:$H, "تقسيط"))</f>
        <v/>
      </c>
      <c r="S19" t="str">
        <f>IF(A22="","", SUMIFS(المبيعات!$O:$O, المبيعات!$B:$B, A22))</f>
        <v/>
      </c>
      <c r="T19" t="str">
        <f t="shared" si="1"/>
        <v/>
      </c>
    </row>
    <row r="20" spans="16:20" x14ac:dyDescent="0.25">
      <c r="P20" t="str">
        <f>IF(A23="","", SUMIFS(المبيعات!$G:$G, المبيعات!$B:$B, A23))</f>
        <v/>
      </c>
      <c r="Q20" t="str">
        <f>IF(A23="","", SUMIFS(المبيعات!$G:$G, المبيعات!$B:$B, A23, المبيعات!$H:$H, "كاش"))</f>
        <v/>
      </c>
      <c r="R20" t="str">
        <f>IF(A23="","", SUMIFS(المبيعات!$G:$G, المبيعات!$B:$B, A23, المبيعات!$H:$H, "تقسيط"))</f>
        <v/>
      </c>
      <c r="S20" t="str">
        <f>IF(A23="","", SUMIFS(المبيعات!$O:$O, المبيعات!$B:$B, A23))</f>
        <v/>
      </c>
      <c r="T20" t="str">
        <f t="shared" si="1"/>
        <v/>
      </c>
    </row>
    <row r="21" spans="16:20" x14ac:dyDescent="0.25">
      <c r="P21" t="str">
        <f>IF(A24="","", SUMIFS(المبيعات!$G:$G, المبيعات!$B:$B, A24))</f>
        <v/>
      </c>
      <c r="Q21" t="str">
        <f>IF(A24="","", SUMIFS(المبيعات!$G:$G, المبيعات!$B:$B, A24, المبيعات!$H:$H, "كاش"))</f>
        <v/>
      </c>
      <c r="R21" t="str">
        <f>IF(A24="","", SUMIFS(المبيعات!$G:$G, المبيعات!$B:$B, A24, المبيعات!$H:$H, "تقسيط"))</f>
        <v/>
      </c>
      <c r="S21" t="str">
        <f>IF(A24="","", SUMIFS(المبيعات!$O:$O, المبيعات!$B:$B, A24))</f>
        <v/>
      </c>
      <c r="T21" t="str">
        <f t="shared" si="1"/>
        <v/>
      </c>
    </row>
    <row r="22" spans="16:20" x14ac:dyDescent="0.25">
      <c r="P22" t="str">
        <f>IF(A25="","", SUMIFS(المبيعات!$G:$G, المبيعات!$B:$B, A25))</f>
        <v/>
      </c>
      <c r="Q22" t="str">
        <f>IF(A25="","", SUMIFS(المبيعات!$G:$G, المبيعات!$B:$B, A25, المبيعات!$H:$H, "كاش"))</f>
        <v/>
      </c>
      <c r="R22" t="str">
        <f>IF(A25="","", SUMIFS(المبيعات!$G:$G, المبيعات!$B:$B, A25, المبيعات!$H:$H, "تقسيط"))</f>
        <v/>
      </c>
      <c r="S22" t="str">
        <f>IF(A25="","", SUMIFS(المبيعات!$O:$O, المبيعات!$B:$B, A25))</f>
        <v/>
      </c>
      <c r="T22" t="str">
        <f t="shared" si="1"/>
        <v/>
      </c>
    </row>
    <row r="23" spans="16:20" x14ac:dyDescent="0.25">
      <c r="P23" t="str">
        <f>IF(A26="","", SUMIFS(المبيعات!$G:$G, المبيعات!$B:$B, A26))</f>
        <v/>
      </c>
      <c r="Q23" t="str">
        <f>IF(A26="","", SUMIFS(المبيعات!$G:$G, المبيعات!$B:$B, A26, المبيعات!$H:$H, "كاش"))</f>
        <v/>
      </c>
      <c r="R23" t="str">
        <f>IF(A26="","", SUMIFS(المبيعات!$G:$G, المبيعات!$B:$B, A26, المبيعات!$H:$H, "تقسيط"))</f>
        <v/>
      </c>
      <c r="S23" t="str">
        <f>IF(A26="","", SUMIFS(المبيعات!$O:$O, المبيعات!$B:$B, A26))</f>
        <v/>
      </c>
      <c r="T23" t="str">
        <f t="shared" si="1"/>
        <v/>
      </c>
    </row>
    <row r="24" spans="16:20" x14ac:dyDescent="0.25">
      <c r="P24" t="str">
        <f>IF(A27="","", SUMIFS(المبيعات!$G:$G, المبيعات!$B:$B, A27))</f>
        <v/>
      </c>
      <c r="Q24" t="str">
        <f>IF(A27="","", SUMIFS(المبيعات!$G:$G, المبيعات!$B:$B, A27, المبيعات!$H:$H, "كاش"))</f>
        <v/>
      </c>
      <c r="R24" t="str">
        <f>IF(A27="","", SUMIFS(المبيعات!$G:$G, المبيعات!$B:$B, A27, المبيعات!$H:$H, "تقسيط"))</f>
        <v/>
      </c>
      <c r="S24" t="str">
        <f>IF(A27="","", SUMIFS(المبيعات!$O:$O, المبيعات!$B:$B, A27))</f>
        <v/>
      </c>
      <c r="T24" t="str">
        <f t="shared" si="1"/>
        <v/>
      </c>
    </row>
    <row r="25" spans="16:20" x14ac:dyDescent="0.25">
      <c r="P25" t="str">
        <f>IF(A28="","", SUMIFS(المبيعات!$G:$G, المبيعات!$B:$B, A28))</f>
        <v/>
      </c>
      <c r="Q25" t="str">
        <f>IF(A28="","", SUMIFS(المبيعات!$G:$G, المبيعات!$B:$B, A28, المبيعات!$H:$H, "كاش"))</f>
        <v/>
      </c>
      <c r="R25" t="str">
        <f>IF(A28="","", SUMIFS(المبيعات!$G:$G, المبيعات!$B:$B, A28, المبيعات!$H:$H, "تقسيط"))</f>
        <v/>
      </c>
      <c r="S25" t="str">
        <f>IF(A28="","", SUMIFS(المبيعات!$O:$O, المبيعات!$B:$B, A28))</f>
        <v/>
      </c>
      <c r="T25" t="str">
        <f t="shared" si="1"/>
        <v/>
      </c>
    </row>
    <row r="26" spans="16:20" x14ac:dyDescent="0.25">
      <c r="P26" t="str">
        <f>IF(A29="","", SUMIFS(المبيعات!$G:$G, المبيعات!$B:$B, A29))</f>
        <v/>
      </c>
      <c r="Q26" t="str">
        <f>IF(A29="","", SUMIFS(المبيعات!$G:$G, المبيعات!$B:$B, A29, المبيعات!$H:$H, "كاش"))</f>
        <v/>
      </c>
      <c r="R26" t="str">
        <f>IF(A29="","", SUMIFS(المبيعات!$G:$G, المبيعات!$B:$B, A29, المبيعات!$H:$H, "تقسيط"))</f>
        <v/>
      </c>
      <c r="S26" t="str">
        <f>IF(A29="","", SUMIFS(المبيعات!$O:$O, المبيعات!$B:$B, A29))</f>
        <v/>
      </c>
      <c r="T26" t="str">
        <f t="shared" si="1"/>
        <v/>
      </c>
    </row>
    <row r="27" spans="16:20" x14ac:dyDescent="0.25">
      <c r="P27" t="str">
        <f>IF(A30="","", SUMIFS(المبيعات!$G:$G, المبيعات!$B:$B, A30))</f>
        <v/>
      </c>
      <c r="Q27" t="str">
        <f>IF(A30="","", SUMIFS(المبيعات!$G:$G, المبيعات!$B:$B, A30, المبيعات!$H:$H, "كاش"))</f>
        <v/>
      </c>
      <c r="R27" t="str">
        <f>IF(A30="","", SUMIFS(المبيعات!$G:$G, المبيعات!$B:$B, A30, المبيعات!$H:$H, "تقسيط"))</f>
        <v/>
      </c>
      <c r="S27" t="str">
        <f>IF(A30="","", SUMIFS(المبيعات!$O:$O, المبيعات!$B:$B, A30))</f>
        <v/>
      </c>
      <c r="T27" t="str">
        <f t="shared" si="1"/>
        <v/>
      </c>
    </row>
    <row r="28" spans="16:20" x14ac:dyDescent="0.25">
      <c r="P28" t="str">
        <f>IF(A31="","", SUMIFS(المبيعات!$G:$G, المبيعات!$B:$B, A31))</f>
        <v/>
      </c>
      <c r="Q28" t="str">
        <f>IF(A31="","", SUMIFS(المبيعات!$G:$G, المبيعات!$B:$B, A31, المبيعات!$H:$H, "كاش"))</f>
        <v/>
      </c>
      <c r="R28" t="str">
        <f>IF(A31="","", SUMIFS(المبيعات!$G:$G, المبيعات!$B:$B, A31, المبيعات!$H:$H, "تقسيط"))</f>
        <v/>
      </c>
      <c r="S28" t="str">
        <f>IF(A31="","", SUMIFS(المبيعات!$O:$O, المبيعات!$B:$B, A31))</f>
        <v/>
      </c>
      <c r="T28" t="str">
        <f t="shared" si="1"/>
        <v/>
      </c>
    </row>
    <row r="29" spans="16:20" x14ac:dyDescent="0.25">
      <c r="P29" t="str">
        <f>IF(A32="","", SUMIFS(المبيعات!$G:$G, المبيعات!$B:$B, A32))</f>
        <v/>
      </c>
      <c r="Q29" t="str">
        <f>IF(A32="","", SUMIFS(المبيعات!$G:$G, المبيعات!$B:$B, A32, المبيعات!$H:$H, "كاش"))</f>
        <v/>
      </c>
      <c r="R29" t="str">
        <f>IF(A32="","", SUMIFS(المبيعات!$G:$G, المبيعات!$B:$B, A32, المبيعات!$H:$H, "تقسيط"))</f>
        <v/>
      </c>
      <c r="S29" t="str">
        <f>IF(A32="","", SUMIFS(المبيعات!$O:$O, المبيعات!$B:$B, A32))</f>
        <v/>
      </c>
      <c r="T29" t="str">
        <f t="shared" si="1"/>
        <v/>
      </c>
    </row>
    <row r="30" spans="16:20" x14ac:dyDescent="0.25">
      <c r="P30" t="str">
        <f>IF(A33="","", SUMIFS(المبيعات!$G:$G, المبيعات!$B:$B, A33))</f>
        <v/>
      </c>
      <c r="Q30" t="str">
        <f>IF(A33="","", SUMIFS(المبيعات!$G:$G, المبيعات!$B:$B, A33, المبيعات!$H:$H, "كاش"))</f>
        <v/>
      </c>
      <c r="R30" t="str">
        <f>IF(A33="","", SUMIFS(المبيعات!$G:$G, المبيعات!$B:$B, A33, المبيعات!$H:$H, "تقسيط"))</f>
        <v/>
      </c>
      <c r="S30" t="str">
        <f>IF(A33="","", SUMIFS(المبيعات!$O:$O, المبيعات!$B:$B, A33))</f>
        <v/>
      </c>
      <c r="T30" t="str">
        <f t="shared" si="1"/>
        <v/>
      </c>
    </row>
    <row r="31" spans="16:20" x14ac:dyDescent="0.25">
      <c r="P31" t="str">
        <f>IF(A34="","", SUMIFS(المبيعات!$G:$G, المبيعات!$B:$B, A34))</f>
        <v/>
      </c>
      <c r="Q31" t="str">
        <f>IF(A34="","", SUMIFS(المبيعات!$G:$G, المبيعات!$B:$B, A34, المبيعات!$H:$H, "كاش"))</f>
        <v/>
      </c>
      <c r="R31" t="str">
        <f>IF(A34="","", SUMIFS(المبيعات!$G:$G, المبيعات!$B:$B, A34, المبيعات!$H:$H, "تقسيط"))</f>
        <v/>
      </c>
      <c r="S31" t="str">
        <f>IF(A34="","", SUMIFS(المبيعات!$O:$O, المبيعات!$B:$B, A34))</f>
        <v/>
      </c>
      <c r="T31" t="str">
        <f t="shared" si="1"/>
        <v/>
      </c>
    </row>
    <row r="32" spans="16:20" x14ac:dyDescent="0.25">
      <c r="P32" t="str">
        <f>IF(A35="","", SUMIFS(المبيعات!$G:$G, المبيعات!$B:$B, A35))</f>
        <v/>
      </c>
      <c r="Q32" t="str">
        <f>IF(A35="","", SUMIFS(المبيعات!$G:$G, المبيعات!$B:$B, A35, المبيعات!$H:$H, "كاش"))</f>
        <v/>
      </c>
      <c r="R32" t="str">
        <f>IF(A35="","", SUMIFS(المبيعات!$G:$G, المبيعات!$B:$B, A35, المبيعات!$H:$H, "تقسيط"))</f>
        <v/>
      </c>
      <c r="S32" t="str">
        <f>IF(A35="","", SUMIFS(المبيعات!$O:$O, المبيعات!$B:$B, A35))</f>
        <v/>
      </c>
      <c r="T32" t="str">
        <f t="shared" si="1"/>
        <v/>
      </c>
    </row>
    <row r="33" spans="16:20" x14ac:dyDescent="0.25">
      <c r="P33" t="str">
        <f>IF(A36="","", SUMIFS(المبيعات!$G:$G, المبيعات!$B:$B, A36))</f>
        <v/>
      </c>
      <c r="Q33" t="str">
        <f>IF(A36="","", SUMIFS(المبيعات!$G:$G, المبيعات!$B:$B, A36, المبيعات!$H:$H, "كاش"))</f>
        <v/>
      </c>
      <c r="R33" t="str">
        <f>IF(A36="","", SUMIFS(المبيعات!$G:$G, المبيعات!$B:$B, A36, المبيعات!$H:$H, "تقسيط"))</f>
        <v/>
      </c>
      <c r="S33" t="str">
        <f>IF(A36="","", SUMIFS(المبيعات!$O:$O, المبيعات!$B:$B, A36))</f>
        <v/>
      </c>
      <c r="T33" t="str">
        <f t="shared" si="1"/>
        <v/>
      </c>
    </row>
    <row r="34" spans="16:20" x14ac:dyDescent="0.25">
      <c r="P34" t="str">
        <f>IF(A37="","", SUMIFS(المبيعات!$G:$G, المبيعات!$B:$B, A37))</f>
        <v/>
      </c>
      <c r="Q34" t="str">
        <f>IF(A37="","", SUMIFS(المبيعات!$G:$G, المبيعات!$B:$B, A37, المبيعات!$H:$H, "كاش"))</f>
        <v/>
      </c>
      <c r="R34" t="str">
        <f>IF(A37="","", SUMIFS(المبيعات!$G:$G, المبيعات!$B:$B, A37, المبيعات!$H:$H, "تقسيط"))</f>
        <v/>
      </c>
      <c r="S34" t="str">
        <f>IF(A37="","", SUMIFS(المبيعات!$O:$O, المبيعات!$B:$B, A37))</f>
        <v/>
      </c>
      <c r="T34" t="str">
        <f t="shared" si="1"/>
        <v/>
      </c>
    </row>
    <row r="35" spans="16:20" x14ac:dyDescent="0.25">
      <c r="P35" t="str">
        <f>IF(A38="","", SUMIFS(المبيعات!$G:$G, المبيعات!$B:$B, A38))</f>
        <v/>
      </c>
      <c r="Q35" t="str">
        <f>IF(A38="","", SUMIFS(المبيعات!$G:$G, المبيعات!$B:$B, A38, المبيعات!$H:$H, "كاش"))</f>
        <v/>
      </c>
      <c r="R35" t="str">
        <f>IF(A38="","", SUMIFS(المبيعات!$G:$G, المبيعات!$B:$B, A38, المبيعات!$H:$H, "تقسيط"))</f>
        <v/>
      </c>
      <c r="S35" t="str">
        <f>IF(A38="","", SUMIFS(المبيعات!$O:$O, المبيعات!$B:$B, A38))</f>
        <v/>
      </c>
      <c r="T35" t="str">
        <f t="shared" si="1"/>
        <v/>
      </c>
    </row>
    <row r="36" spans="16:20" x14ac:dyDescent="0.25">
      <c r="P36" t="str">
        <f>IF(A39="","", SUMIFS(المبيعات!$G:$G, المبيعات!$B:$B, A39))</f>
        <v/>
      </c>
      <c r="Q36" t="str">
        <f>IF(A39="","", SUMIFS(المبيعات!$G:$G, المبيعات!$B:$B, A39, المبيعات!$H:$H, "كاش"))</f>
        <v/>
      </c>
      <c r="R36" t="str">
        <f>IF(A39="","", SUMIFS(المبيعات!$G:$G, المبيعات!$B:$B, A39, المبيعات!$H:$H, "تقسيط"))</f>
        <v/>
      </c>
      <c r="S36" t="str">
        <f>IF(A39="","", SUMIFS(المبيعات!$O:$O, المبيعات!$B:$B, A39))</f>
        <v/>
      </c>
      <c r="T36" t="str">
        <f t="shared" si="1"/>
        <v/>
      </c>
    </row>
    <row r="37" spans="16:20" x14ac:dyDescent="0.25">
      <c r="P37" t="str">
        <f>IF(A40="","", SUMIFS(المبيعات!$G:$G, المبيعات!$B:$B, A40))</f>
        <v/>
      </c>
      <c r="Q37" t="str">
        <f>IF(A40="","", SUMIFS(المبيعات!$G:$G, المبيعات!$B:$B, A40, المبيعات!$H:$H, "كاش"))</f>
        <v/>
      </c>
      <c r="R37" t="str">
        <f>IF(A40="","", SUMIFS(المبيعات!$G:$G, المبيعات!$B:$B, A40, المبيعات!$H:$H, "تقسيط"))</f>
        <v/>
      </c>
      <c r="S37" t="str">
        <f>IF(A40="","", SUMIFS(المبيعات!$O:$O, المبيعات!$B:$B, A40))</f>
        <v/>
      </c>
      <c r="T37" t="str">
        <f t="shared" si="1"/>
        <v/>
      </c>
    </row>
    <row r="38" spans="16:20" x14ac:dyDescent="0.25">
      <c r="P38" t="str">
        <f>IF(A41="","", SUMIFS(المبيعات!$G:$G, المبيعات!$B:$B, A41))</f>
        <v/>
      </c>
      <c r="Q38" t="str">
        <f>IF(A41="","", SUMIFS(المبيعات!$G:$G, المبيعات!$B:$B, A41, المبيعات!$H:$H, "كاش"))</f>
        <v/>
      </c>
      <c r="R38" t="str">
        <f>IF(A41="","", SUMIFS(المبيعات!$G:$G, المبيعات!$B:$B, A41, المبيعات!$H:$H, "تقسيط"))</f>
        <v/>
      </c>
      <c r="S38" t="str">
        <f>IF(A41="","", SUMIFS(المبيعات!$O:$O, المبيعات!$B:$B, A41))</f>
        <v/>
      </c>
      <c r="T38" t="str">
        <f t="shared" ref="T38:T69" si="2">IF(A41="","", P38 - S38)</f>
        <v/>
      </c>
    </row>
    <row r="39" spans="16:20" x14ac:dyDescent="0.25">
      <c r="P39" t="str">
        <f>IF(A42="","", SUMIFS(المبيعات!$G:$G, المبيعات!$B:$B, A42))</f>
        <v/>
      </c>
      <c r="Q39" t="str">
        <f>IF(A42="","", SUMIFS(المبيعات!$G:$G, المبيعات!$B:$B, A42, المبيعات!$H:$H, "كاش"))</f>
        <v/>
      </c>
      <c r="R39" t="str">
        <f>IF(A42="","", SUMIFS(المبيعات!$G:$G, المبيعات!$B:$B, A42, المبيعات!$H:$H, "تقسيط"))</f>
        <v/>
      </c>
      <c r="S39" t="str">
        <f>IF(A42="","", SUMIFS(المبيعات!$O:$O, المبيعات!$B:$B, A42))</f>
        <v/>
      </c>
      <c r="T39" t="str">
        <f t="shared" si="2"/>
        <v/>
      </c>
    </row>
    <row r="40" spans="16:20" x14ac:dyDescent="0.25">
      <c r="P40" t="str">
        <f>IF(A43="","", SUMIFS(المبيعات!$G:$G, المبيعات!$B:$B, A43))</f>
        <v/>
      </c>
      <c r="Q40" t="str">
        <f>IF(A43="","", SUMIFS(المبيعات!$G:$G, المبيعات!$B:$B, A43, المبيعات!$H:$H, "كاش"))</f>
        <v/>
      </c>
      <c r="R40" t="str">
        <f>IF(A43="","", SUMIFS(المبيعات!$G:$G, المبيعات!$B:$B, A43, المبيعات!$H:$H, "تقسيط"))</f>
        <v/>
      </c>
      <c r="S40" t="str">
        <f>IF(A43="","", SUMIFS(المبيعات!$O:$O, المبيعات!$B:$B, A43))</f>
        <v/>
      </c>
      <c r="T40" t="str">
        <f t="shared" si="2"/>
        <v/>
      </c>
    </row>
    <row r="41" spans="16:20" x14ac:dyDescent="0.25">
      <c r="P41" t="str">
        <f>IF(A44="","", SUMIFS(المبيعات!$G:$G, المبيعات!$B:$B, A44))</f>
        <v/>
      </c>
      <c r="Q41" t="str">
        <f>IF(A44="","", SUMIFS(المبيعات!$G:$G, المبيعات!$B:$B, A44, المبيعات!$H:$H, "كاش"))</f>
        <v/>
      </c>
      <c r="R41" t="str">
        <f>IF(A44="","", SUMIFS(المبيعات!$G:$G, المبيعات!$B:$B, A44, المبيعات!$H:$H, "تقسيط"))</f>
        <v/>
      </c>
      <c r="S41" t="str">
        <f>IF(A44="","", SUMIFS(المبيعات!$O:$O, المبيعات!$B:$B, A44))</f>
        <v/>
      </c>
      <c r="T41" t="str">
        <f t="shared" si="2"/>
        <v/>
      </c>
    </row>
    <row r="42" spans="16:20" x14ac:dyDescent="0.25">
      <c r="P42" t="str">
        <f>IF(A45="","", SUMIFS(المبيعات!$G:$G, المبيعات!$B:$B, A45))</f>
        <v/>
      </c>
      <c r="Q42" t="str">
        <f>IF(A45="","", SUMIFS(المبيعات!$G:$G, المبيعات!$B:$B, A45, المبيعات!$H:$H, "كاش"))</f>
        <v/>
      </c>
      <c r="R42" t="str">
        <f>IF(A45="","", SUMIFS(المبيعات!$G:$G, المبيعات!$B:$B, A45, المبيعات!$H:$H, "تقسيط"))</f>
        <v/>
      </c>
      <c r="S42" t="str">
        <f>IF(A45="","", SUMIFS(المبيعات!$O:$O, المبيعات!$B:$B, A45))</f>
        <v/>
      </c>
      <c r="T42" t="str">
        <f t="shared" si="2"/>
        <v/>
      </c>
    </row>
    <row r="43" spans="16:20" x14ac:dyDescent="0.25">
      <c r="P43" t="str">
        <f>IF(A46="","", SUMIFS(المبيعات!$G:$G, المبيعات!$B:$B, A46))</f>
        <v/>
      </c>
      <c r="Q43" t="str">
        <f>IF(A46="","", SUMIFS(المبيعات!$G:$G, المبيعات!$B:$B, A46, المبيعات!$H:$H, "كاش"))</f>
        <v/>
      </c>
      <c r="R43" t="str">
        <f>IF(A46="","", SUMIFS(المبيعات!$G:$G, المبيعات!$B:$B, A46, المبيعات!$H:$H, "تقسيط"))</f>
        <v/>
      </c>
      <c r="S43" t="str">
        <f>IF(A46="","", SUMIFS(المبيعات!$O:$O, المبيعات!$B:$B, A46))</f>
        <v/>
      </c>
      <c r="T43" t="str">
        <f t="shared" si="2"/>
        <v/>
      </c>
    </row>
    <row r="44" spans="16:20" x14ac:dyDescent="0.25">
      <c r="P44" t="str">
        <f>IF(A47="","", SUMIFS(المبيعات!$G:$G, المبيعات!$B:$B, A47))</f>
        <v/>
      </c>
      <c r="Q44" t="str">
        <f>IF(A47="","", SUMIFS(المبيعات!$G:$G, المبيعات!$B:$B, A47, المبيعات!$H:$H, "كاش"))</f>
        <v/>
      </c>
      <c r="R44" t="str">
        <f>IF(A47="","", SUMIFS(المبيعات!$G:$G, المبيعات!$B:$B, A47, المبيعات!$H:$H, "تقسيط"))</f>
        <v/>
      </c>
      <c r="S44" t="str">
        <f>IF(A47="","", SUMIFS(المبيعات!$O:$O, المبيعات!$B:$B, A47))</f>
        <v/>
      </c>
      <c r="T44" t="str">
        <f t="shared" si="2"/>
        <v/>
      </c>
    </row>
    <row r="45" spans="16:20" x14ac:dyDescent="0.25">
      <c r="P45" t="str">
        <f>IF(A48="","", SUMIFS(المبيعات!$G:$G, المبيعات!$B:$B, A48))</f>
        <v/>
      </c>
      <c r="Q45" t="str">
        <f>IF(A48="","", SUMIFS(المبيعات!$G:$G, المبيعات!$B:$B, A48, المبيعات!$H:$H, "كاش"))</f>
        <v/>
      </c>
      <c r="R45" t="str">
        <f>IF(A48="","", SUMIFS(المبيعات!$G:$G, المبيعات!$B:$B, A48, المبيعات!$H:$H, "تقسيط"))</f>
        <v/>
      </c>
      <c r="S45" t="str">
        <f>IF(A48="","", SUMIFS(المبيعات!$O:$O, المبيعات!$B:$B, A48))</f>
        <v/>
      </c>
      <c r="T45" t="str">
        <f t="shared" si="2"/>
        <v/>
      </c>
    </row>
    <row r="46" spans="16:20" x14ac:dyDescent="0.25">
      <c r="P46" t="str">
        <f>IF(A49="","", SUMIFS(المبيعات!$G:$G, المبيعات!$B:$B, A49))</f>
        <v/>
      </c>
      <c r="Q46" t="str">
        <f>IF(A49="","", SUMIFS(المبيعات!$G:$G, المبيعات!$B:$B, A49, المبيعات!$H:$H, "كاش"))</f>
        <v/>
      </c>
      <c r="R46" t="str">
        <f>IF(A49="","", SUMIFS(المبيعات!$G:$G, المبيعات!$B:$B, A49, المبيعات!$H:$H, "تقسيط"))</f>
        <v/>
      </c>
      <c r="S46" t="str">
        <f>IF(A49="","", SUMIFS(المبيعات!$O:$O, المبيعات!$B:$B, A49))</f>
        <v/>
      </c>
      <c r="T46" t="str">
        <f t="shared" si="2"/>
        <v/>
      </c>
    </row>
    <row r="47" spans="16:20" x14ac:dyDescent="0.25">
      <c r="P47" t="str">
        <f>IF(A50="","", SUMIFS(المبيعات!$G:$G, المبيعات!$B:$B, A50))</f>
        <v/>
      </c>
      <c r="Q47" t="str">
        <f>IF(A50="","", SUMIFS(المبيعات!$G:$G, المبيعات!$B:$B, A50, المبيعات!$H:$H, "كاش"))</f>
        <v/>
      </c>
      <c r="R47" t="str">
        <f>IF(A50="","", SUMIFS(المبيعات!$G:$G, المبيعات!$B:$B, A50, المبيعات!$H:$H, "تقسيط"))</f>
        <v/>
      </c>
      <c r="S47" t="str">
        <f>IF(A50="","", SUMIFS(المبيعات!$O:$O, المبيعات!$B:$B, A50))</f>
        <v/>
      </c>
      <c r="T47" t="str">
        <f t="shared" si="2"/>
        <v/>
      </c>
    </row>
    <row r="48" spans="16:20" x14ac:dyDescent="0.25">
      <c r="P48" t="str">
        <f>IF(A51="","", SUMIFS(المبيعات!$G:$G, المبيعات!$B:$B, A51))</f>
        <v/>
      </c>
      <c r="Q48" t="str">
        <f>IF(A51="","", SUMIFS(المبيعات!$G:$G, المبيعات!$B:$B, A51, المبيعات!$H:$H, "كاش"))</f>
        <v/>
      </c>
      <c r="R48" t="str">
        <f>IF(A51="","", SUMIFS(المبيعات!$G:$G, المبيعات!$B:$B, A51, المبيعات!$H:$H, "تقسيط"))</f>
        <v/>
      </c>
      <c r="S48" t="str">
        <f>IF(A51="","", SUMIFS(المبيعات!$O:$O, المبيعات!$B:$B, A51))</f>
        <v/>
      </c>
      <c r="T48" t="str">
        <f t="shared" si="2"/>
        <v/>
      </c>
    </row>
    <row r="49" spans="16:20" x14ac:dyDescent="0.25">
      <c r="P49" t="str">
        <f>IF(A52="","", SUMIFS(المبيعات!$G:$G, المبيعات!$B:$B, A52))</f>
        <v/>
      </c>
      <c r="Q49" t="str">
        <f>IF(A52="","", SUMIFS(المبيعات!$G:$G, المبيعات!$B:$B, A52, المبيعات!$H:$H, "كاش"))</f>
        <v/>
      </c>
      <c r="R49" t="str">
        <f>IF(A52="","", SUMIFS(المبيعات!$G:$G, المبيعات!$B:$B, A52, المبيعات!$H:$H, "تقسيط"))</f>
        <v/>
      </c>
      <c r="S49" t="str">
        <f>IF(A52="","", SUMIFS(المبيعات!$O:$O, المبيعات!$B:$B, A52))</f>
        <v/>
      </c>
      <c r="T49" t="str">
        <f t="shared" si="2"/>
        <v/>
      </c>
    </row>
    <row r="50" spans="16:20" x14ac:dyDescent="0.25">
      <c r="P50" t="str">
        <f>IF(A53="","", SUMIFS(المبيعات!$G:$G, المبيعات!$B:$B, A53))</f>
        <v/>
      </c>
      <c r="Q50" t="str">
        <f>IF(A53="","", SUMIFS(المبيعات!$G:$G, المبيعات!$B:$B, A53, المبيعات!$H:$H, "كاش"))</f>
        <v/>
      </c>
      <c r="R50" t="str">
        <f>IF(A53="","", SUMIFS(المبيعات!$G:$G, المبيعات!$B:$B, A53, المبيعات!$H:$H, "تقسيط"))</f>
        <v/>
      </c>
      <c r="S50" t="str">
        <f>IF(A53="","", SUMIFS(المبيعات!$O:$O, المبيعات!$B:$B, A53))</f>
        <v/>
      </c>
      <c r="T50" t="str">
        <f t="shared" si="2"/>
        <v/>
      </c>
    </row>
    <row r="51" spans="16:20" x14ac:dyDescent="0.25">
      <c r="P51" t="str">
        <f>IF(A54="","", SUMIFS(المبيعات!$G:$G, المبيعات!$B:$B, A54))</f>
        <v/>
      </c>
      <c r="Q51" t="str">
        <f>IF(A54="","", SUMIFS(المبيعات!$G:$G, المبيعات!$B:$B, A54, المبيعات!$H:$H, "كاش"))</f>
        <v/>
      </c>
      <c r="R51" t="str">
        <f>IF(A54="","", SUMIFS(المبيعات!$G:$G, المبيعات!$B:$B, A54, المبيعات!$H:$H, "تقسيط"))</f>
        <v/>
      </c>
      <c r="S51" t="str">
        <f>IF(A54="","", SUMIFS(المبيعات!$O:$O, المبيعات!$B:$B, A54))</f>
        <v/>
      </c>
      <c r="T51" t="str">
        <f t="shared" si="2"/>
        <v/>
      </c>
    </row>
    <row r="52" spans="16:20" x14ac:dyDescent="0.25">
      <c r="P52" t="str">
        <f>IF(A55="","", SUMIFS(المبيعات!$G:$G, المبيعات!$B:$B, A55))</f>
        <v/>
      </c>
      <c r="Q52" t="str">
        <f>IF(A55="","", SUMIFS(المبيعات!$G:$G, المبيعات!$B:$B, A55, المبيعات!$H:$H, "كاش"))</f>
        <v/>
      </c>
      <c r="R52" t="str">
        <f>IF(A55="","", SUMIFS(المبيعات!$G:$G, المبيعات!$B:$B, A55, المبيعات!$H:$H, "تقسيط"))</f>
        <v/>
      </c>
      <c r="S52" t="str">
        <f>IF(A55="","", SUMIFS(المبيعات!$O:$O, المبيعات!$B:$B, A55))</f>
        <v/>
      </c>
      <c r="T52" t="str">
        <f t="shared" si="2"/>
        <v/>
      </c>
    </row>
    <row r="53" spans="16:20" x14ac:dyDescent="0.25">
      <c r="P53" t="str">
        <f>IF(A56="","", SUMIFS(المبيعات!$G:$G, المبيعات!$B:$B, A56))</f>
        <v/>
      </c>
      <c r="Q53" t="str">
        <f>IF(A56="","", SUMIFS(المبيعات!$G:$G, المبيعات!$B:$B, A56, المبيعات!$H:$H, "كاش"))</f>
        <v/>
      </c>
      <c r="R53" t="str">
        <f>IF(A56="","", SUMIFS(المبيعات!$G:$G, المبيعات!$B:$B, A56, المبيعات!$H:$H, "تقسيط"))</f>
        <v/>
      </c>
      <c r="S53" t="str">
        <f>IF(A56="","", SUMIFS(المبيعات!$O:$O, المبيعات!$B:$B, A56))</f>
        <v/>
      </c>
      <c r="T53" t="str">
        <f t="shared" si="2"/>
        <v/>
      </c>
    </row>
    <row r="54" spans="16:20" x14ac:dyDescent="0.25">
      <c r="P54" t="str">
        <f>IF(A57="","", SUMIFS(المبيعات!$G:$G, المبيعات!$B:$B, A57))</f>
        <v/>
      </c>
      <c r="Q54" t="str">
        <f>IF(A57="","", SUMIFS(المبيعات!$G:$G, المبيعات!$B:$B, A57, المبيعات!$H:$H, "كاش"))</f>
        <v/>
      </c>
      <c r="R54" t="str">
        <f>IF(A57="","", SUMIFS(المبيعات!$G:$G, المبيعات!$B:$B, A57, المبيعات!$H:$H, "تقسيط"))</f>
        <v/>
      </c>
      <c r="S54" t="str">
        <f>IF(A57="","", SUMIFS(المبيعات!$O:$O, المبيعات!$B:$B, A57))</f>
        <v/>
      </c>
      <c r="T54" t="str">
        <f t="shared" si="2"/>
        <v/>
      </c>
    </row>
    <row r="55" spans="16:20" x14ac:dyDescent="0.25">
      <c r="P55" t="str">
        <f>IF(A58="","", SUMIFS(المبيعات!$G:$G, المبيعات!$B:$B, A58))</f>
        <v/>
      </c>
      <c r="Q55" t="str">
        <f>IF(A58="","", SUMIFS(المبيعات!$G:$G, المبيعات!$B:$B, A58, المبيعات!$H:$H, "كاش"))</f>
        <v/>
      </c>
      <c r="R55" t="str">
        <f>IF(A58="","", SUMIFS(المبيعات!$G:$G, المبيعات!$B:$B, A58, المبيعات!$H:$H, "تقسيط"))</f>
        <v/>
      </c>
      <c r="S55" t="str">
        <f>IF(A58="","", SUMIFS(المبيعات!$O:$O, المبيعات!$B:$B, A58))</f>
        <v/>
      </c>
      <c r="T55" t="str">
        <f t="shared" si="2"/>
        <v/>
      </c>
    </row>
    <row r="56" spans="16:20" x14ac:dyDescent="0.25">
      <c r="P56" t="str">
        <f>IF(A59="","", SUMIFS(المبيعات!$G:$G, المبيعات!$B:$B, A59))</f>
        <v/>
      </c>
      <c r="Q56" t="str">
        <f>IF(A59="","", SUMIFS(المبيعات!$G:$G, المبيعات!$B:$B, A59, المبيعات!$H:$H, "كاش"))</f>
        <v/>
      </c>
      <c r="R56" t="str">
        <f>IF(A59="","", SUMIFS(المبيعات!$G:$G, المبيعات!$B:$B, A59, المبيعات!$H:$H, "تقسيط"))</f>
        <v/>
      </c>
      <c r="S56" t="str">
        <f>IF(A59="","", SUMIFS(المبيعات!$O:$O, المبيعات!$B:$B, A59))</f>
        <v/>
      </c>
      <c r="T56" t="str">
        <f t="shared" si="2"/>
        <v/>
      </c>
    </row>
    <row r="57" spans="16:20" x14ac:dyDescent="0.25">
      <c r="P57" t="str">
        <f>IF(A60="","", SUMIFS(المبيعات!$G:$G, المبيعات!$B:$B, A60))</f>
        <v/>
      </c>
      <c r="Q57" t="str">
        <f>IF(A60="","", SUMIFS(المبيعات!$G:$G, المبيعات!$B:$B, A60, المبيعات!$H:$H, "كاش"))</f>
        <v/>
      </c>
      <c r="R57" t="str">
        <f>IF(A60="","", SUMIFS(المبيعات!$G:$G, المبيعات!$B:$B, A60, المبيعات!$H:$H, "تقسيط"))</f>
        <v/>
      </c>
      <c r="S57" t="str">
        <f>IF(A60="","", SUMIFS(المبيعات!$O:$O, المبيعات!$B:$B, A60))</f>
        <v/>
      </c>
      <c r="T57" t="str">
        <f t="shared" si="2"/>
        <v/>
      </c>
    </row>
    <row r="58" spans="16:20" x14ac:dyDescent="0.25">
      <c r="P58" t="str">
        <f>IF(A61="","", SUMIFS(المبيعات!$G:$G, المبيعات!$B:$B, A61))</f>
        <v/>
      </c>
      <c r="Q58" t="str">
        <f>IF(A61="","", SUMIFS(المبيعات!$G:$G, المبيعات!$B:$B, A61, المبيعات!$H:$H, "كاش"))</f>
        <v/>
      </c>
      <c r="R58" t="str">
        <f>IF(A61="","", SUMIFS(المبيعات!$G:$G, المبيعات!$B:$B, A61, المبيعات!$H:$H, "تقسيط"))</f>
        <v/>
      </c>
      <c r="S58" t="str">
        <f>IF(A61="","", SUMIFS(المبيعات!$O:$O, المبيعات!$B:$B, A61))</f>
        <v/>
      </c>
      <c r="T58" t="str">
        <f t="shared" si="2"/>
        <v/>
      </c>
    </row>
    <row r="59" spans="16:20" x14ac:dyDescent="0.25">
      <c r="P59" t="str">
        <f>IF(A62="","", SUMIFS(المبيعات!$G:$G, المبيعات!$B:$B, A62))</f>
        <v/>
      </c>
      <c r="Q59" t="str">
        <f>IF(A62="","", SUMIFS(المبيعات!$G:$G, المبيعات!$B:$B, A62, المبيعات!$H:$H, "كاش"))</f>
        <v/>
      </c>
      <c r="R59" t="str">
        <f>IF(A62="","", SUMIFS(المبيعات!$G:$G, المبيعات!$B:$B, A62, المبيعات!$H:$H, "تقسيط"))</f>
        <v/>
      </c>
      <c r="S59" t="str">
        <f>IF(A62="","", SUMIFS(المبيعات!$O:$O, المبيعات!$B:$B, A62))</f>
        <v/>
      </c>
      <c r="T59" t="str">
        <f t="shared" si="2"/>
        <v/>
      </c>
    </row>
    <row r="60" spans="16:20" x14ac:dyDescent="0.25">
      <c r="P60" t="str">
        <f>IF(A63="","", SUMIFS(المبيعات!$G:$G, المبيعات!$B:$B, A63))</f>
        <v/>
      </c>
      <c r="Q60" t="str">
        <f>IF(A63="","", SUMIFS(المبيعات!$G:$G, المبيعات!$B:$B, A63, المبيعات!$H:$H, "كاش"))</f>
        <v/>
      </c>
      <c r="R60" t="str">
        <f>IF(A63="","", SUMIFS(المبيعات!$G:$G, المبيعات!$B:$B, A63, المبيعات!$H:$H, "تقسيط"))</f>
        <v/>
      </c>
      <c r="S60" t="str">
        <f>IF(A63="","", SUMIFS(المبيعات!$O:$O, المبيعات!$B:$B, A63))</f>
        <v/>
      </c>
      <c r="T60" t="str">
        <f t="shared" si="2"/>
        <v/>
      </c>
    </row>
    <row r="61" spans="16:20" x14ac:dyDescent="0.25">
      <c r="P61" t="str">
        <f>IF(A64="","", SUMIFS(المبيعات!$G:$G, المبيعات!$B:$B, A64))</f>
        <v/>
      </c>
      <c r="Q61" t="str">
        <f>IF(A64="","", SUMIFS(المبيعات!$G:$G, المبيعات!$B:$B, A64, المبيعات!$H:$H, "كاش"))</f>
        <v/>
      </c>
      <c r="R61" t="str">
        <f>IF(A64="","", SUMIFS(المبيعات!$G:$G, المبيعات!$B:$B, A64, المبيعات!$H:$H, "تقسيط"))</f>
        <v/>
      </c>
      <c r="S61" t="str">
        <f>IF(A64="","", SUMIFS(المبيعات!$O:$O, المبيعات!$B:$B, A64))</f>
        <v/>
      </c>
      <c r="T61" t="str">
        <f t="shared" si="2"/>
        <v/>
      </c>
    </row>
    <row r="62" spans="16:20" x14ac:dyDescent="0.25">
      <c r="P62" t="str">
        <f>IF(A65="","", SUMIFS(المبيعات!$G:$G, المبيعات!$B:$B, A65))</f>
        <v/>
      </c>
      <c r="Q62" t="str">
        <f>IF(A65="","", SUMIFS(المبيعات!$G:$G, المبيعات!$B:$B, A65, المبيعات!$H:$H, "كاش"))</f>
        <v/>
      </c>
      <c r="R62" t="str">
        <f>IF(A65="","", SUMIFS(المبيعات!$G:$G, المبيعات!$B:$B, A65, المبيعات!$H:$H, "تقسيط"))</f>
        <v/>
      </c>
      <c r="S62" t="str">
        <f>IF(A65="","", SUMIFS(المبيعات!$O:$O, المبيعات!$B:$B, A65))</f>
        <v/>
      </c>
      <c r="T62" t="str">
        <f t="shared" si="2"/>
        <v/>
      </c>
    </row>
    <row r="63" spans="16:20" x14ac:dyDescent="0.25">
      <c r="P63" t="str">
        <f>IF(A66="","", SUMIFS(المبيعات!$G:$G, المبيعات!$B:$B, A66))</f>
        <v/>
      </c>
      <c r="Q63" t="str">
        <f>IF(A66="","", SUMIFS(المبيعات!$G:$G, المبيعات!$B:$B, A66, المبيعات!$H:$H, "كاش"))</f>
        <v/>
      </c>
      <c r="R63" t="str">
        <f>IF(A66="","", SUMIFS(المبيعات!$G:$G, المبيعات!$B:$B, A66, المبيعات!$H:$H, "تقسيط"))</f>
        <v/>
      </c>
      <c r="S63" t="str">
        <f>IF(A66="","", SUMIFS(المبيعات!$O:$O, المبيعات!$B:$B, A66))</f>
        <v/>
      </c>
      <c r="T63" t="str">
        <f t="shared" si="2"/>
        <v/>
      </c>
    </row>
    <row r="64" spans="16:20" x14ac:dyDescent="0.25">
      <c r="P64" t="str">
        <f>IF(A67="","", SUMIFS(المبيعات!$G:$G, المبيعات!$B:$B, A67))</f>
        <v/>
      </c>
      <c r="Q64" t="str">
        <f>IF(A67="","", SUMIFS(المبيعات!$G:$G, المبيعات!$B:$B, A67, المبيعات!$H:$H, "كاش"))</f>
        <v/>
      </c>
      <c r="R64" t="str">
        <f>IF(A67="","", SUMIFS(المبيعات!$G:$G, المبيعات!$B:$B, A67, المبيعات!$H:$H, "تقسيط"))</f>
        <v/>
      </c>
      <c r="S64" t="str">
        <f>IF(A67="","", SUMIFS(المبيعات!$O:$O, المبيعات!$B:$B, A67))</f>
        <v/>
      </c>
      <c r="T64" t="str">
        <f t="shared" si="2"/>
        <v/>
      </c>
    </row>
    <row r="65" spans="16:20" x14ac:dyDescent="0.25">
      <c r="P65" t="str">
        <f>IF(A68="","", SUMIFS(المبيعات!$G:$G, المبيعات!$B:$B, A68))</f>
        <v/>
      </c>
      <c r="Q65" t="str">
        <f>IF(A68="","", SUMIFS(المبيعات!$G:$G, المبيعات!$B:$B, A68, المبيعات!$H:$H, "كاش"))</f>
        <v/>
      </c>
      <c r="R65" t="str">
        <f>IF(A68="","", SUMIFS(المبيعات!$G:$G, المبيعات!$B:$B, A68, المبيعات!$H:$H, "تقسيط"))</f>
        <v/>
      </c>
      <c r="S65" t="str">
        <f>IF(A68="","", SUMIFS(المبيعات!$O:$O, المبيعات!$B:$B, A68))</f>
        <v/>
      </c>
      <c r="T65" t="str">
        <f t="shared" si="2"/>
        <v/>
      </c>
    </row>
    <row r="66" spans="16:20" x14ac:dyDescent="0.25">
      <c r="P66" t="str">
        <f>IF(A69="","", SUMIFS(المبيعات!$G:$G, المبيعات!$B:$B, A69))</f>
        <v/>
      </c>
      <c r="Q66" t="str">
        <f>IF(A69="","", SUMIFS(المبيعات!$G:$G, المبيعات!$B:$B, A69, المبيعات!$H:$H, "كاش"))</f>
        <v/>
      </c>
      <c r="R66" t="str">
        <f>IF(A69="","", SUMIFS(المبيعات!$G:$G, المبيعات!$B:$B, A69, المبيعات!$H:$H, "تقسيط"))</f>
        <v/>
      </c>
      <c r="S66" t="str">
        <f>IF(A69="","", SUMIFS(المبيعات!$O:$O, المبيعات!$B:$B, A69))</f>
        <v/>
      </c>
      <c r="T66" t="str">
        <f t="shared" si="2"/>
        <v/>
      </c>
    </row>
    <row r="67" spans="16:20" x14ac:dyDescent="0.25">
      <c r="P67" t="str">
        <f>IF(A70="","", SUMIFS(المبيعات!$G:$G, المبيعات!$B:$B, A70))</f>
        <v/>
      </c>
      <c r="Q67" t="str">
        <f>IF(A70="","", SUMIFS(المبيعات!$G:$G, المبيعات!$B:$B, A70, المبيعات!$H:$H, "كاش"))</f>
        <v/>
      </c>
      <c r="R67" t="str">
        <f>IF(A70="","", SUMIFS(المبيعات!$G:$G, المبيعات!$B:$B, A70, المبيعات!$H:$H, "تقسيط"))</f>
        <v/>
      </c>
      <c r="S67" t="str">
        <f>IF(A70="","", SUMIFS(المبيعات!$O:$O, المبيعات!$B:$B, A70))</f>
        <v/>
      </c>
      <c r="T67" t="str">
        <f t="shared" si="2"/>
        <v/>
      </c>
    </row>
    <row r="68" spans="16:20" x14ac:dyDescent="0.25">
      <c r="P68" t="str">
        <f>IF(A71="","", SUMIFS(المبيعات!$G:$G, المبيعات!$B:$B, A71))</f>
        <v/>
      </c>
      <c r="Q68" t="str">
        <f>IF(A71="","", SUMIFS(المبيعات!$G:$G, المبيعات!$B:$B, A71, المبيعات!$H:$H, "كاش"))</f>
        <v/>
      </c>
      <c r="R68" t="str">
        <f>IF(A71="","", SUMIFS(المبيعات!$G:$G, المبيعات!$B:$B, A71, المبيعات!$H:$H, "تقسيط"))</f>
        <v/>
      </c>
      <c r="S68" t="str">
        <f>IF(A71="","", SUMIFS(المبيعات!$O:$O, المبيعات!$B:$B, A71))</f>
        <v/>
      </c>
      <c r="T68" t="str">
        <f t="shared" si="2"/>
        <v/>
      </c>
    </row>
    <row r="69" spans="16:20" x14ac:dyDescent="0.25">
      <c r="P69" t="str">
        <f>IF(A72="","", SUMIFS(المبيعات!$G:$G, المبيعات!$B:$B, A72))</f>
        <v/>
      </c>
      <c r="Q69" t="str">
        <f>IF(A72="","", SUMIFS(المبيعات!$G:$G, المبيعات!$B:$B, A72, المبيعات!$H:$H, "كاش"))</f>
        <v/>
      </c>
      <c r="R69" t="str">
        <f>IF(A72="","", SUMIFS(المبيعات!$G:$G, المبيعات!$B:$B, A72, المبيعات!$H:$H, "تقسيط"))</f>
        <v/>
      </c>
      <c r="S69" t="str">
        <f>IF(A72="","", SUMIFS(المبيعات!$O:$O, المبيعات!$B:$B, A72))</f>
        <v/>
      </c>
      <c r="T69" t="str">
        <f t="shared" si="2"/>
        <v/>
      </c>
    </row>
    <row r="70" spans="16:20" x14ac:dyDescent="0.25">
      <c r="P70" t="str">
        <f>IF(A73="","", SUMIFS(المبيعات!$G:$G, المبيعات!$B:$B, A73))</f>
        <v/>
      </c>
      <c r="Q70" t="str">
        <f>IF(A73="","", SUMIFS(المبيعات!$G:$G, المبيعات!$B:$B, A73, المبيعات!$H:$H, "كاش"))</f>
        <v/>
      </c>
      <c r="R70" t="str">
        <f>IF(A73="","", SUMIFS(المبيعات!$G:$G, المبيعات!$B:$B, A73, المبيعات!$H:$H, "تقسيط"))</f>
        <v/>
      </c>
      <c r="S70" t="str">
        <f>IF(A73="","", SUMIFS(المبيعات!$O:$O, المبيعات!$B:$B, A73))</f>
        <v/>
      </c>
      <c r="T70" t="str">
        <f t="shared" ref="T70:T101" si="3">IF(A73="","", P70 - S70)</f>
        <v/>
      </c>
    </row>
    <row r="71" spans="16:20" x14ac:dyDescent="0.25">
      <c r="P71" t="str">
        <f>IF(A74="","", SUMIFS(المبيعات!$G:$G, المبيعات!$B:$B, A74))</f>
        <v/>
      </c>
      <c r="Q71" t="str">
        <f>IF(A74="","", SUMIFS(المبيعات!$G:$G, المبيعات!$B:$B, A74, المبيعات!$H:$H, "كاش"))</f>
        <v/>
      </c>
      <c r="R71" t="str">
        <f>IF(A74="","", SUMIFS(المبيعات!$G:$G, المبيعات!$B:$B, A74, المبيعات!$H:$H, "تقسيط"))</f>
        <v/>
      </c>
      <c r="S71" t="str">
        <f>IF(A74="","", SUMIFS(المبيعات!$O:$O, المبيعات!$B:$B, A74))</f>
        <v/>
      </c>
      <c r="T71" t="str">
        <f t="shared" si="3"/>
        <v/>
      </c>
    </row>
    <row r="72" spans="16:20" x14ac:dyDescent="0.25">
      <c r="P72" t="str">
        <f>IF(A75="","", SUMIFS(المبيعات!$G:$G, المبيعات!$B:$B, A75))</f>
        <v/>
      </c>
      <c r="Q72" t="str">
        <f>IF(A75="","", SUMIFS(المبيعات!$G:$G, المبيعات!$B:$B, A75, المبيعات!$H:$H, "كاش"))</f>
        <v/>
      </c>
      <c r="R72" t="str">
        <f>IF(A75="","", SUMIFS(المبيعات!$G:$G, المبيعات!$B:$B, A75, المبيعات!$H:$H, "تقسيط"))</f>
        <v/>
      </c>
      <c r="S72" t="str">
        <f>IF(A75="","", SUMIFS(المبيعات!$O:$O, المبيعات!$B:$B, A75))</f>
        <v/>
      </c>
      <c r="T72" t="str">
        <f t="shared" si="3"/>
        <v/>
      </c>
    </row>
    <row r="73" spans="16:20" x14ac:dyDescent="0.25">
      <c r="P73" t="str">
        <f>IF(A76="","", SUMIFS(المبيعات!$G:$G, المبيعات!$B:$B, A76))</f>
        <v/>
      </c>
      <c r="Q73" t="str">
        <f>IF(A76="","", SUMIFS(المبيعات!$G:$G, المبيعات!$B:$B, A76, المبيعات!$H:$H, "كاش"))</f>
        <v/>
      </c>
      <c r="R73" t="str">
        <f>IF(A76="","", SUMIFS(المبيعات!$G:$G, المبيعات!$B:$B, A76, المبيعات!$H:$H, "تقسيط"))</f>
        <v/>
      </c>
      <c r="S73" t="str">
        <f>IF(A76="","", SUMIFS(المبيعات!$O:$O, المبيعات!$B:$B, A76))</f>
        <v/>
      </c>
      <c r="T73" t="str">
        <f t="shared" si="3"/>
        <v/>
      </c>
    </row>
    <row r="74" spans="16:20" x14ac:dyDescent="0.25">
      <c r="P74" t="str">
        <f>IF(A77="","", SUMIFS(المبيعات!$G:$G, المبيعات!$B:$B, A77))</f>
        <v/>
      </c>
      <c r="Q74" t="str">
        <f>IF(A77="","", SUMIFS(المبيعات!$G:$G, المبيعات!$B:$B, A77, المبيعات!$H:$H, "كاش"))</f>
        <v/>
      </c>
      <c r="R74" t="str">
        <f>IF(A77="","", SUMIFS(المبيعات!$G:$G, المبيعات!$B:$B, A77, المبيعات!$H:$H, "تقسيط"))</f>
        <v/>
      </c>
      <c r="S74" t="str">
        <f>IF(A77="","", SUMIFS(المبيعات!$O:$O, المبيعات!$B:$B, A77))</f>
        <v/>
      </c>
      <c r="T74" t="str">
        <f t="shared" si="3"/>
        <v/>
      </c>
    </row>
    <row r="75" spans="16:20" x14ac:dyDescent="0.25">
      <c r="P75" t="str">
        <f>IF(A78="","", SUMIFS(المبيعات!$G:$G, المبيعات!$B:$B, A78))</f>
        <v/>
      </c>
      <c r="Q75" t="str">
        <f>IF(A78="","", SUMIFS(المبيعات!$G:$G, المبيعات!$B:$B, A78, المبيعات!$H:$H, "كاش"))</f>
        <v/>
      </c>
      <c r="R75" t="str">
        <f>IF(A78="","", SUMIFS(المبيعات!$G:$G, المبيعات!$B:$B, A78, المبيعات!$H:$H, "تقسيط"))</f>
        <v/>
      </c>
      <c r="S75" t="str">
        <f>IF(A78="","", SUMIFS(المبيعات!$O:$O, المبيعات!$B:$B, A78))</f>
        <v/>
      </c>
      <c r="T75" t="str">
        <f t="shared" si="3"/>
        <v/>
      </c>
    </row>
    <row r="76" spans="16:20" x14ac:dyDescent="0.25">
      <c r="P76" t="str">
        <f>IF(A79="","", SUMIFS(المبيعات!$G:$G, المبيعات!$B:$B, A79))</f>
        <v/>
      </c>
      <c r="Q76" t="str">
        <f>IF(A79="","", SUMIFS(المبيعات!$G:$G, المبيعات!$B:$B, A79, المبيعات!$H:$H, "كاش"))</f>
        <v/>
      </c>
      <c r="R76" t="str">
        <f>IF(A79="","", SUMIFS(المبيعات!$G:$G, المبيعات!$B:$B, A79, المبيعات!$H:$H, "تقسيط"))</f>
        <v/>
      </c>
      <c r="S76" t="str">
        <f>IF(A79="","", SUMIFS(المبيعات!$O:$O, المبيعات!$B:$B, A79))</f>
        <v/>
      </c>
      <c r="T76" t="str">
        <f t="shared" si="3"/>
        <v/>
      </c>
    </row>
    <row r="77" spans="16:20" x14ac:dyDescent="0.25">
      <c r="P77" t="str">
        <f>IF(A80="","", SUMIFS(المبيعات!$G:$G, المبيعات!$B:$B, A80))</f>
        <v/>
      </c>
      <c r="Q77" t="str">
        <f>IF(A80="","", SUMIFS(المبيعات!$G:$G, المبيعات!$B:$B, A80, المبيعات!$H:$H, "كاش"))</f>
        <v/>
      </c>
      <c r="R77" t="str">
        <f>IF(A80="","", SUMIFS(المبيعات!$G:$G, المبيعات!$B:$B, A80, المبيعات!$H:$H, "تقسيط"))</f>
        <v/>
      </c>
      <c r="S77" t="str">
        <f>IF(A80="","", SUMIFS(المبيعات!$O:$O, المبيعات!$B:$B, A80))</f>
        <v/>
      </c>
      <c r="T77" t="str">
        <f t="shared" si="3"/>
        <v/>
      </c>
    </row>
    <row r="78" spans="16:20" x14ac:dyDescent="0.25">
      <c r="P78" t="str">
        <f>IF(A81="","", SUMIFS(المبيعات!$G:$G, المبيعات!$B:$B, A81))</f>
        <v/>
      </c>
      <c r="Q78" t="str">
        <f>IF(A81="","", SUMIFS(المبيعات!$G:$G, المبيعات!$B:$B, A81, المبيعات!$H:$H, "كاش"))</f>
        <v/>
      </c>
      <c r="R78" t="str">
        <f>IF(A81="","", SUMIFS(المبيعات!$G:$G, المبيعات!$B:$B, A81, المبيعات!$H:$H, "تقسيط"))</f>
        <v/>
      </c>
      <c r="S78" t="str">
        <f>IF(A81="","", SUMIFS(المبيعات!$O:$O, المبيعات!$B:$B, A81))</f>
        <v/>
      </c>
      <c r="T78" t="str">
        <f t="shared" si="3"/>
        <v/>
      </c>
    </row>
    <row r="79" spans="16:20" x14ac:dyDescent="0.25">
      <c r="P79" t="str">
        <f>IF(A82="","", SUMIFS(المبيعات!$G:$G, المبيعات!$B:$B, A82))</f>
        <v/>
      </c>
      <c r="Q79" t="str">
        <f>IF(A82="","", SUMIFS(المبيعات!$G:$G, المبيعات!$B:$B, A82, المبيعات!$H:$H, "كاش"))</f>
        <v/>
      </c>
      <c r="R79" t="str">
        <f>IF(A82="","", SUMIFS(المبيعات!$G:$G, المبيعات!$B:$B, A82, المبيعات!$H:$H, "تقسيط"))</f>
        <v/>
      </c>
      <c r="S79" t="str">
        <f>IF(A82="","", SUMIFS(المبيعات!$O:$O, المبيعات!$B:$B, A82))</f>
        <v/>
      </c>
      <c r="T79" t="str">
        <f t="shared" si="3"/>
        <v/>
      </c>
    </row>
    <row r="80" spans="16:20" x14ac:dyDescent="0.25">
      <c r="P80" t="str">
        <f>IF(A83="","", SUMIFS(المبيعات!$G:$G, المبيعات!$B:$B, A83))</f>
        <v/>
      </c>
      <c r="Q80" t="str">
        <f>IF(A83="","", SUMIFS(المبيعات!$G:$G, المبيعات!$B:$B, A83, المبيعات!$H:$H, "كاش"))</f>
        <v/>
      </c>
      <c r="R80" t="str">
        <f>IF(A83="","", SUMIFS(المبيعات!$G:$G, المبيعات!$B:$B, A83, المبيعات!$H:$H, "تقسيط"))</f>
        <v/>
      </c>
      <c r="S80" t="str">
        <f>IF(A83="","", SUMIFS(المبيعات!$O:$O, المبيعات!$B:$B, A83))</f>
        <v/>
      </c>
      <c r="T80" t="str">
        <f t="shared" si="3"/>
        <v/>
      </c>
    </row>
    <row r="81" spans="16:20" x14ac:dyDescent="0.25">
      <c r="P81" t="str">
        <f>IF(A84="","", SUMIFS(المبيعات!$G:$G, المبيعات!$B:$B, A84))</f>
        <v/>
      </c>
      <c r="Q81" t="str">
        <f>IF(A84="","", SUMIFS(المبيعات!$G:$G, المبيعات!$B:$B, A84, المبيعات!$H:$H, "كاش"))</f>
        <v/>
      </c>
      <c r="R81" t="str">
        <f>IF(A84="","", SUMIFS(المبيعات!$G:$G, المبيعات!$B:$B, A84, المبيعات!$H:$H, "تقسيط"))</f>
        <v/>
      </c>
      <c r="S81" t="str">
        <f>IF(A84="","", SUMIFS(المبيعات!$O:$O, المبيعات!$B:$B, A84))</f>
        <v/>
      </c>
      <c r="T81" t="str">
        <f t="shared" si="3"/>
        <v/>
      </c>
    </row>
    <row r="82" spans="16:20" x14ac:dyDescent="0.25">
      <c r="P82" t="str">
        <f>IF(A85="","", SUMIFS(المبيعات!$G:$G, المبيعات!$B:$B, A85))</f>
        <v/>
      </c>
      <c r="Q82" t="str">
        <f>IF(A85="","", SUMIFS(المبيعات!$G:$G, المبيعات!$B:$B, A85, المبيعات!$H:$H, "كاش"))</f>
        <v/>
      </c>
      <c r="R82" t="str">
        <f>IF(A85="","", SUMIFS(المبيعات!$G:$G, المبيعات!$B:$B, A85, المبيعات!$H:$H, "تقسيط"))</f>
        <v/>
      </c>
      <c r="S82" t="str">
        <f>IF(A85="","", SUMIFS(المبيعات!$O:$O, المبيعات!$B:$B, A85))</f>
        <v/>
      </c>
      <c r="T82" t="str">
        <f t="shared" si="3"/>
        <v/>
      </c>
    </row>
    <row r="83" spans="16:20" x14ac:dyDescent="0.25">
      <c r="P83" t="str">
        <f>IF(A86="","", SUMIFS(المبيعات!$G:$G, المبيعات!$B:$B, A86))</f>
        <v/>
      </c>
      <c r="Q83" t="str">
        <f>IF(A86="","", SUMIFS(المبيعات!$G:$G, المبيعات!$B:$B, A86, المبيعات!$H:$H, "كاش"))</f>
        <v/>
      </c>
      <c r="R83" t="str">
        <f>IF(A86="","", SUMIFS(المبيعات!$G:$G, المبيعات!$B:$B, A86, المبيعات!$H:$H, "تقسيط"))</f>
        <v/>
      </c>
      <c r="S83" t="str">
        <f>IF(A86="","", SUMIFS(المبيعات!$O:$O, المبيعات!$B:$B, A86))</f>
        <v/>
      </c>
      <c r="T83" t="str">
        <f t="shared" si="3"/>
        <v/>
      </c>
    </row>
    <row r="84" spans="16:20" x14ac:dyDescent="0.25">
      <c r="P84" t="str">
        <f>IF(A87="","", SUMIFS(المبيعات!$G:$G, المبيعات!$B:$B, A87))</f>
        <v/>
      </c>
      <c r="Q84" t="str">
        <f>IF(A87="","", SUMIFS(المبيعات!$G:$G, المبيعات!$B:$B, A87, المبيعات!$H:$H, "كاش"))</f>
        <v/>
      </c>
      <c r="R84" t="str">
        <f>IF(A87="","", SUMIFS(المبيعات!$G:$G, المبيعات!$B:$B, A87, المبيعات!$H:$H, "تقسيط"))</f>
        <v/>
      </c>
      <c r="S84" t="str">
        <f>IF(A87="","", SUMIFS(المبيعات!$O:$O, المبيعات!$B:$B, A87))</f>
        <v/>
      </c>
      <c r="T84" t="str">
        <f t="shared" si="3"/>
        <v/>
      </c>
    </row>
    <row r="85" spans="16:20" x14ac:dyDescent="0.25">
      <c r="P85" t="str">
        <f>IF(A88="","", SUMIFS(المبيعات!$G:$G, المبيعات!$B:$B, A88))</f>
        <v/>
      </c>
      <c r="Q85" t="str">
        <f>IF(A88="","", SUMIFS(المبيعات!$G:$G, المبيعات!$B:$B, A88, المبيعات!$H:$H, "كاش"))</f>
        <v/>
      </c>
      <c r="R85" t="str">
        <f>IF(A88="","", SUMIFS(المبيعات!$G:$G, المبيعات!$B:$B, A88, المبيعات!$H:$H, "تقسيط"))</f>
        <v/>
      </c>
      <c r="S85" t="str">
        <f>IF(A88="","", SUMIFS(المبيعات!$O:$O, المبيعات!$B:$B, A88))</f>
        <v/>
      </c>
      <c r="T85" t="str">
        <f t="shared" si="3"/>
        <v/>
      </c>
    </row>
    <row r="86" spans="16:20" x14ac:dyDescent="0.25">
      <c r="P86" t="str">
        <f>IF(A89="","", SUMIFS(المبيعات!$G:$G, المبيعات!$B:$B, A89))</f>
        <v/>
      </c>
      <c r="Q86" t="str">
        <f>IF(A89="","", SUMIFS(المبيعات!$G:$G, المبيعات!$B:$B, A89, المبيعات!$H:$H, "كاش"))</f>
        <v/>
      </c>
      <c r="R86" t="str">
        <f>IF(A89="","", SUMIFS(المبيعات!$G:$G, المبيعات!$B:$B, A89, المبيعات!$H:$H, "تقسيط"))</f>
        <v/>
      </c>
      <c r="S86" t="str">
        <f>IF(A89="","", SUMIFS(المبيعات!$O:$O, المبيعات!$B:$B, A89))</f>
        <v/>
      </c>
      <c r="T86" t="str">
        <f t="shared" si="3"/>
        <v/>
      </c>
    </row>
    <row r="87" spans="16:20" x14ac:dyDescent="0.25">
      <c r="P87" t="str">
        <f>IF(A90="","", SUMIFS(المبيعات!$G:$G, المبيعات!$B:$B, A90))</f>
        <v/>
      </c>
      <c r="Q87" t="str">
        <f>IF(A90="","", SUMIFS(المبيعات!$G:$G, المبيعات!$B:$B, A90, المبيعات!$H:$H, "كاش"))</f>
        <v/>
      </c>
      <c r="R87" t="str">
        <f>IF(A90="","", SUMIFS(المبيعات!$G:$G, المبيعات!$B:$B, A90, المبيعات!$H:$H, "تقسيط"))</f>
        <v/>
      </c>
      <c r="S87" t="str">
        <f>IF(A90="","", SUMIFS(المبيعات!$O:$O, المبيعات!$B:$B, A90))</f>
        <v/>
      </c>
      <c r="T87" t="str">
        <f t="shared" si="3"/>
        <v/>
      </c>
    </row>
    <row r="88" spans="16:20" x14ac:dyDescent="0.25">
      <c r="P88" t="str">
        <f>IF(A91="","", SUMIFS(المبيعات!$G:$G, المبيعات!$B:$B, A91))</f>
        <v/>
      </c>
      <c r="Q88" t="str">
        <f>IF(A91="","", SUMIFS(المبيعات!$G:$G, المبيعات!$B:$B, A91, المبيعات!$H:$H, "كاش"))</f>
        <v/>
      </c>
      <c r="R88" t="str">
        <f>IF(A91="","", SUMIFS(المبيعات!$G:$G, المبيعات!$B:$B, A91, المبيعات!$H:$H, "تقسيط"))</f>
        <v/>
      </c>
      <c r="S88" t="str">
        <f>IF(A91="","", SUMIFS(المبيعات!$O:$O, المبيعات!$B:$B, A91))</f>
        <v/>
      </c>
      <c r="T88" t="str">
        <f t="shared" si="3"/>
        <v/>
      </c>
    </row>
    <row r="89" spans="16:20" x14ac:dyDescent="0.25">
      <c r="P89" t="str">
        <f>IF(A92="","", SUMIFS(المبيعات!$G:$G, المبيعات!$B:$B, A92))</f>
        <v/>
      </c>
      <c r="Q89" t="str">
        <f>IF(A92="","", SUMIFS(المبيعات!$G:$G, المبيعات!$B:$B, A92, المبيعات!$H:$H, "كاش"))</f>
        <v/>
      </c>
      <c r="R89" t="str">
        <f>IF(A92="","", SUMIFS(المبيعات!$G:$G, المبيعات!$B:$B, A92, المبيعات!$H:$H, "تقسيط"))</f>
        <v/>
      </c>
      <c r="S89" t="str">
        <f>IF(A92="","", SUMIFS(المبيعات!$O:$O, المبيعات!$B:$B, A92))</f>
        <v/>
      </c>
      <c r="T89" t="str">
        <f t="shared" si="3"/>
        <v/>
      </c>
    </row>
    <row r="90" spans="16:20" x14ac:dyDescent="0.25">
      <c r="P90" t="str">
        <f>IF(A93="","", SUMIFS(المبيعات!$G:$G, المبيعات!$B:$B, A93))</f>
        <v/>
      </c>
      <c r="Q90" t="str">
        <f>IF(A93="","", SUMIFS(المبيعات!$G:$G, المبيعات!$B:$B, A93, المبيعات!$H:$H, "كاش"))</f>
        <v/>
      </c>
      <c r="R90" t="str">
        <f>IF(A93="","", SUMIFS(المبيعات!$G:$G, المبيعات!$B:$B, A93, المبيعات!$H:$H, "تقسيط"))</f>
        <v/>
      </c>
      <c r="S90" t="str">
        <f>IF(A93="","", SUMIFS(المبيعات!$O:$O, المبيعات!$B:$B, A93))</f>
        <v/>
      </c>
      <c r="T90" t="str">
        <f t="shared" si="3"/>
        <v/>
      </c>
    </row>
    <row r="91" spans="16:20" x14ac:dyDescent="0.25">
      <c r="P91" t="str">
        <f>IF(A94="","", SUMIFS(المبيعات!$G:$G, المبيعات!$B:$B, A94))</f>
        <v/>
      </c>
      <c r="Q91" t="str">
        <f>IF(A94="","", SUMIFS(المبيعات!$G:$G, المبيعات!$B:$B, A94, المبيعات!$H:$H, "كاش"))</f>
        <v/>
      </c>
      <c r="R91" t="str">
        <f>IF(A94="","", SUMIFS(المبيعات!$G:$G, المبيعات!$B:$B, A94, المبيعات!$H:$H, "تقسيط"))</f>
        <v/>
      </c>
      <c r="S91" t="str">
        <f>IF(A94="","", SUMIFS(المبيعات!$O:$O, المبيعات!$B:$B, A94))</f>
        <v/>
      </c>
      <c r="T91" t="str">
        <f t="shared" si="3"/>
        <v/>
      </c>
    </row>
    <row r="92" spans="16:20" x14ac:dyDescent="0.25">
      <c r="P92" t="str">
        <f>IF(A95="","", SUMIFS(المبيعات!$G:$G, المبيعات!$B:$B, A95))</f>
        <v/>
      </c>
      <c r="Q92" t="str">
        <f>IF(A95="","", SUMIFS(المبيعات!$G:$G, المبيعات!$B:$B, A95, المبيعات!$H:$H, "كاش"))</f>
        <v/>
      </c>
      <c r="R92" t="str">
        <f>IF(A95="","", SUMIFS(المبيعات!$G:$G, المبيعات!$B:$B, A95, المبيعات!$H:$H, "تقسيط"))</f>
        <v/>
      </c>
      <c r="S92" t="str">
        <f>IF(A95="","", SUMIFS(المبيعات!$O:$O, المبيعات!$B:$B, A95))</f>
        <v/>
      </c>
      <c r="T92" t="str">
        <f t="shared" si="3"/>
        <v/>
      </c>
    </row>
    <row r="93" spans="16:20" x14ac:dyDescent="0.25">
      <c r="P93" t="str">
        <f>IF(A96="","", SUMIFS(المبيعات!$G:$G, المبيعات!$B:$B, A96))</f>
        <v/>
      </c>
      <c r="Q93" t="str">
        <f>IF(A96="","", SUMIFS(المبيعات!$G:$G, المبيعات!$B:$B, A96, المبيعات!$H:$H, "كاش"))</f>
        <v/>
      </c>
      <c r="R93" t="str">
        <f>IF(A96="","", SUMIFS(المبيعات!$G:$G, المبيعات!$B:$B, A96, المبيعات!$H:$H, "تقسيط"))</f>
        <v/>
      </c>
      <c r="S93" t="str">
        <f>IF(A96="","", SUMIFS(المبيعات!$O:$O, المبيعات!$B:$B, A96))</f>
        <v/>
      </c>
      <c r="T93" t="str">
        <f t="shared" si="3"/>
        <v/>
      </c>
    </row>
    <row r="94" spans="16:20" x14ac:dyDescent="0.25">
      <c r="P94" t="str">
        <f>IF(A97="","", SUMIFS(المبيعات!$G:$G, المبيعات!$B:$B, A97))</f>
        <v/>
      </c>
      <c r="Q94" t="str">
        <f>IF(A97="","", SUMIFS(المبيعات!$G:$G, المبيعات!$B:$B, A97, المبيعات!$H:$H, "كاش"))</f>
        <v/>
      </c>
      <c r="R94" t="str">
        <f>IF(A97="","", SUMIFS(المبيعات!$G:$G, المبيعات!$B:$B, A97, المبيعات!$H:$H, "تقسيط"))</f>
        <v/>
      </c>
      <c r="S94" t="str">
        <f>IF(A97="","", SUMIFS(المبيعات!$O:$O, المبيعات!$B:$B, A97))</f>
        <v/>
      </c>
      <c r="T94" t="str">
        <f t="shared" si="3"/>
        <v/>
      </c>
    </row>
    <row r="95" spans="16:20" x14ac:dyDescent="0.25">
      <c r="P95" t="str">
        <f>IF(A98="","", SUMIFS(المبيعات!$G:$G, المبيعات!$B:$B, A98))</f>
        <v/>
      </c>
      <c r="Q95" t="str">
        <f>IF(A98="","", SUMIFS(المبيعات!$G:$G, المبيعات!$B:$B, A98, المبيعات!$H:$H, "كاش"))</f>
        <v/>
      </c>
      <c r="R95" t="str">
        <f>IF(A98="","", SUMIFS(المبيعات!$G:$G, المبيعات!$B:$B, A98, المبيعات!$H:$H, "تقسيط"))</f>
        <v/>
      </c>
      <c r="S95" t="str">
        <f>IF(A98="","", SUMIFS(المبيعات!$O:$O, المبيعات!$B:$B, A98))</f>
        <v/>
      </c>
      <c r="T95" t="str">
        <f t="shared" si="3"/>
        <v/>
      </c>
    </row>
    <row r="96" spans="16:20" x14ac:dyDescent="0.25">
      <c r="P96" t="str">
        <f>IF(A99="","", SUMIFS(المبيعات!$G:$G, المبيعات!$B:$B, A99))</f>
        <v/>
      </c>
      <c r="Q96" t="str">
        <f>IF(A99="","", SUMIFS(المبيعات!$G:$G, المبيعات!$B:$B, A99, المبيعات!$H:$H, "كاش"))</f>
        <v/>
      </c>
      <c r="R96" t="str">
        <f>IF(A99="","", SUMIFS(المبيعات!$G:$G, المبيعات!$B:$B, A99, المبيعات!$H:$H, "تقسيط"))</f>
        <v/>
      </c>
      <c r="S96" t="str">
        <f>IF(A99="","", SUMIFS(المبيعات!$O:$O, المبيعات!$B:$B, A99))</f>
        <v/>
      </c>
      <c r="T96" t="str">
        <f t="shared" si="3"/>
        <v/>
      </c>
    </row>
    <row r="97" spans="16:20" x14ac:dyDescent="0.25">
      <c r="P97" t="str">
        <f>IF(A100="","", SUMIFS(المبيعات!$G:$G, المبيعات!$B:$B, A100))</f>
        <v/>
      </c>
      <c r="Q97" t="str">
        <f>IF(A100="","", SUMIFS(المبيعات!$G:$G, المبيعات!$B:$B, A100, المبيعات!$H:$H, "كاش"))</f>
        <v/>
      </c>
      <c r="R97" t="str">
        <f>IF(A100="","", SUMIFS(المبيعات!$G:$G, المبيعات!$B:$B, A100, المبيعات!$H:$H, "تقسيط"))</f>
        <v/>
      </c>
      <c r="S97" t="str">
        <f>IF(A100="","", SUMIFS(المبيعات!$O:$O, المبيعات!$B:$B, A100))</f>
        <v/>
      </c>
      <c r="T97" t="str">
        <f t="shared" si="3"/>
        <v/>
      </c>
    </row>
    <row r="98" spans="16:20" x14ac:dyDescent="0.25">
      <c r="P98" t="str">
        <f>IF(A101="","", SUMIFS(المبيعات!$G:$G, المبيعات!$B:$B, A101))</f>
        <v/>
      </c>
      <c r="Q98" t="str">
        <f>IF(A101="","", SUMIFS(المبيعات!$G:$G, المبيعات!$B:$B, A101, المبيعات!$H:$H, "كاش"))</f>
        <v/>
      </c>
      <c r="R98" t="str">
        <f>IF(A101="","", SUMIFS(المبيعات!$G:$G, المبيعات!$B:$B, A101, المبيعات!$H:$H, "تقسيط"))</f>
        <v/>
      </c>
      <c r="S98" t="str">
        <f>IF(A101="","", SUMIFS(المبيعات!$O:$O, المبيعات!$B:$B, A101))</f>
        <v/>
      </c>
      <c r="T98" t="str">
        <f t="shared" si="3"/>
        <v/>
      </c>
    </row>
    <row r="99" spans="16:20" x14ac:dyDescent="0.25">
      <c r="P99" t="str">
        <f>IF(A102="","", SUMIFS(المبيعات!$G:$G, المبيعات!$B:$B, A102))</f>
        <v/>
      </c>
      <c r="Q99" t="str">
        <f>IF(A102="","", SUMIFS(المبيعات!$G:$G, المبيعات!$B:$B, A102, المبيعات!$H:$H, "كاش"))</f>
        <v/>
      </c>
      <c r="R99" t="str">
        <f>IF(A102="","", SUMIFS(المبيعات!$G:$G, المبيعات!$B:$B, A102, المبيعات!$H:$H, "تقسيط"))</f>
        <v/>
      </c>
      <c r="S99" t="str">
        <f>IF(A102="","", SUMIFS(المبيعات!$O:$O, المبيعات!$B:$B, A102))</f>
        <v/>
      </c>
      <c r="T99" t="str">
        <f t="shared" si="3"/>
        <v/>
      </c>
    </row>
  </sheetData>
  <phoneticPr fontId="4" type="noConversion"/>
  <dataValidations count="3">
    <dataValidation type="list" showInputMessage="1" showErrorMessage="1" sqref="F3:F5 F9:F1006">
      <formula1>ProjStatus</formula1>
    </dataValidation>
    <dataValidation type="list" allowBlank="1" showInputMessage="1" showErrorMessage="1" sqref="F6:F7">
      <formula1>ProjStatus</formula1>
    </dataValidation>
    <dataValidation type="list" allowBlank="1" showInputMessage="1" showErrorMessage="1" sqref="F8">
      <formula1>ProjStatus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7"/>
  <sheetViews>
    <sheetView rightToLeft="1" tabSelected="1" topLeftCell="A2" workbookViewId="0">
      <selection activeCell="D3" sqref="D3"/>
    </sheetView>
  </sheetViews>
  <sheetFormatPr defaultRowHeight="15" x14ac:dyDescent="0.25"/>
  <cols>
    <col min="1" max="15" width="16.7109375" customWidth="1"/>
  </cols>
  <sheetData>
    <row r="2" spans="1:15" x14ac:dyDescent="0.25">
      <c r="A2" t="s">
        <v>104</v>
      </c>
      <c r="B2" t="s">
        <v>105</v>
      </c>
      <c r="C2" t="s">
        <v>29</v>
      </c>
      <c r="D2" t="s">
        <v>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</row>
    <row r="3" spans="1:15" x14ac:dyDescent="0.25">
      <c r="A3" s="5" t="str">
        <f>IFERROR(INDEX([1]!Tbl_Projects[كود المشروع], MATCH([1]!Tbl_Contributions[[#This Row],[اسم المشروع]], [1]!Tbl_Projects[اسم المشروع], 0)), "")</f>
        <v/>
      </c>
      <c r="B3" s="5" t="s">
        <v>124</v>
      </c>
      <c r="C3" s="5" t="str">
        <f>IFERROR(INDEX([1]!Tbl_Investors[كود المساهم], MATCH([1]!Tbl_Contributions[[#This Row],[اسم المساهم]], [1]!Tbl_Investors[اسم المساهم], 0)), "")</f>
        <v/>
      </c>
      <c r="D3" s="5" t="s">
        <v>34</v>
      </c>
      <c r="E3" s="5">
        <v>2600000</v>
      </c>
      <c r="F3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0.17333333333333334</v>
      </c>
      <c r="G3" s="5">
        <v>0.2</v>
      </c>
      <c r="H3" s="13">
        <f>IFERROR(INDEX(Tbl_Projects[صافي الربح], MATCH(Tbl_Contributions[[#This Row],[اسم المشروع]], Tbl_Projects[اسم المشروع], 0)) * Tbl_Contributions[[#This Row],[نسبة مساهمته]], 0)</f>
        <v>-1114706.6666666667</v>
      </c>
      <c r="I3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" s="13">
        <f>Tbl_Contributions[[#This Row],[حصة الربح قبل الإدارة]] - Tbl_Contributions[[#This Row],[نصيب الإدارة]]</f>
        <v>-1114706.6666666667</v>
      </c>
      <c r="K3">
        <f>Tbl_Contributions[[#This Row],[رأس مال المساهم]] + Tbl_Contributions[[#This Row],[صافي ربح المساهم]]</f>
        <v>1485293.3333333333</v>
      </c>
      <c r="L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1485000</v>
      </c>
      <c r="M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">
        <f>Tbl_Contributions[[#This Row],[إجمالي المستحق للمساهم]] - Tbl_Contributions[[#This Row],[المسحوبات (تتضمن رد رأس المال والأرباح)]]</f>
        <v>293.33333333325572</v>
      </c>
      <c r="O3" t="str">
        <f>IF(ISBLANK(Tbl_Contributions[[#This Row],[نسبة الإدارة الخاصة به]]), "تنبيه: نسبة الإدارة غير مسجلة", "مكتمل")</f>
        <v>مكتمل</v>
      </c>
    </row>
    <row r="4" spans="1:15" x14ac:dyDescent="0.25">
      <c r="A4" s="5" t="str">
        <f>IFERROR(INDEX([1]!Tbl_Projects[كود المشروع], MATCH([1]!Tbl_Contributions[[#This Row],[اسم المشروع]], [1]!Tbl_Projects[اسم المشروع], 0)), "")</f>
        <v/>
      </c>
      <c r="B4" s="5" t="s">
        <v>124</v>
      </c>
      <c r="C4" s="5" t="str">
        <f>IFERROR(INDEX([1]!Tbl_Investors[كود المساهم], MATCH([1]!Tbl_Contributions[[#This Row],[اسم المساهم]], [1]!Tbl_Investors[اسم المساهم], 0)), "")</f>
        <v/>
      </c>
      <c r="D4" s="5" t="s">
        <v>36</v>
      </c>
      <c r="E4" s="5">
        <v>1000000</v>
      </c>
      <c r="F4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6.6666666666666666E-2</v>
      </c>
      <c r="G4" s="5">
        <v>0.2</v>
      </c>
      <c r="H4" s="13">
        <f>IFERROR(INDEX(Tbl_Projects[صافي الربح], MATCH(Tbl_Contributions[[#This Row],[اسم المشروع]], Tbl_Projects[اسم المشروع], 0)) * Tbl_Contributions[[#This Row],[نسبة مساهمته]], 0)</f>
        <v>-428733.33333333331</v>
      </c>
      <c r="I4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4" s="13">
        <f>Tbl_Contributions[[#This Row],[حصة الربح قبل الإدارة]] - Tbl_Contributions[[#This Row],[نصيب الإدارة]]</f>
        <v>-428733.33333333331</v>
      </c>
      <c r="K4">
        <f>Tbl_Contributions[[#This Row],[رأس مال المساهم]] + Tbl_Contributions[[#This Row],[صافي ربح المساهم]]</f>
        <v>571266.66666666674</v>
      </c>
      <c r="L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500000</v>
      </c>
      <c r="M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">
        <f>Tbl_Contributions[[#This Row],[إجمالي المستحق للمساهم]] - Tbl_Contributions[[#This Row],[المسحوبات (تتضمن رد رأس المال والأرباح)]]</f>
        <v>71266.666666666744</v>
      </c>
      <c r="O4" t="str">
        <f>IF(ISBLANK(Tbl_Contributions[[#This Row],[نسبة الإدارة الخاصة به]]), "تنبيه: نسبة الإدارة غير مسجلة", "مكتمل")</f>
        <v>مكتمل</v>
      </c>
    </row>
    <row r="5" spans="1:15" x14ac:dyDescent="0.25">
      <c r="A5" s="5" t="str">
        <f>IFERROR(INDEX([1]!Tbl_Projects[كود المشروع], MATCH([1]!Tbl_Contributions[[#This Row],[اسم المشروع]], [1]!Tbl_Projects[اسم المشروع], 0)), "")</f>
        <v/>
      </c>
      <c r="B5" s="5" t="s">
        <v>124</v>
      </c>
      <c r="C5" s="5" t="str">
        <f>IFERROR(INDEX([1]!Tbl_Investors[كود المساهم], MATCH([1]!Tbl_Contributions[[#This Row],[اسم المساهم]], [1]!Tbl_Investors[اسم المساهم], 0)), "")</f>
        <v/>
      </c>
      <c r="D5" s="5" t="s">
        <v>38</v>
      </c>
      <c r="E5" s="5">
        <v>2000000</v>
      </c>
      <c r="F5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0.13333333333333333</v>
      </c>
      <c r="G5" s="5">
        <v>0.2</v>
      </c>
      <c r="H5" s="13">
        <f>IFERROR(INDEX(Tbl_Projects[صافي الربح], MATCH(Tbl_Contributions[[#This Row],[اسم المشروع]], Tbl_Projects[اسم المشروع], 0)) * Tbl_Contributions[[#This Row],[نسبة مساهمته]], 0)</f>
        <v>-857466.66666666663</v>
      </c>
      <c r="I5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5" s="13">
        <f>Tbl_Contributions[[#This Row],[حصة الربح قبل الإدارة]] - Tbl_Contributions[[#This Row],[نصيب الإدارة]]</f>
        <v>-857466.66666666663</v>
      </c>
      <c r="K5">
        <f>Tbl_Contributions[[#This Row],[رأس مال المساهم]] + Tbl_Contributions[[#This Row],[صافي ربح المساهم]]</f>
        <v>1142533.3333333335</v>
      </c>
      <c r="L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">
        <f>Tbl_Contributions[[#This Row],[إجمالي المستحق للمساهم]] - Tbl_Contributions[[#This Row],[المسحوبات (تتضمن رد رأس المال والأرباح)]]</f>
        <v>1142533.3333333335</v>
      </c>
      <c r="O5" t="str">
        <f>IF(ISBLANK(Tbl_Contributions[[#This Row],[نسبة الإدارة الخاصة به]]), "تنبيه: نسبة الإدارة غير مسجلة", "مكتمل")</f>
        <v>مكتمل</v>
      </c>
    </row>
    <row r="6" spans="1:15" x14ac:dyDescent="0.25">
      <c r="A6" s="5" t="str">
        <f>IFERROR(INDEX([1]!Tbl_Projects[كود المشروع], MATCH([1]!Tbl_Contributions[[#This Row],[اسم المشروع]], [1]!Tbl_Projects[اسم المشروع], 0)), "")</f>
        <v/>
      </c>
      <c r="B6" s="5" t="s">
        <v>124</v>
      </c>
      <c r="C6" s="5" t="str">
        <f>IFERROR(INDEX([1]!Tbl_Investors[كود المساهم], MATCH([1]!Tbl_Contributions[[#This Row],[اسم المساهم]], [1]!Tbl_Investors[اسم المساهم], 0)), "")</f>
        <v/>
      </c>
      <c r="D6" s="5" t="s">
        <v>40</v>
      </c>
      <c r="E6" s="5">
        <v>4500000</v>
      </c>
      <c r="F6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0.3</v>
      </c>
      <c r="G6" s="5">
        <v>0.2</v>
      </c>
      <c r="H6" s="13">
        <f>IFERROR(INDEX(Tbl_Projects[صافي الربح], MATCH(Tbl_Contributions[[#This Row],[اسم المشروع]], Tbl_Projects[اسم المشروع], 0)) * Tbl_Contributions[[#This Row],[نسبة مساهمته]], 0)</f>
        <v>-1929300</v>
      </c>
      <c r="I6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" s="13">
        <f>Tbl_Contributions[[#This Row],[حصة الربح قبل الإدارة]] - Tbl_Contributions[[#This Row],[نصيب الإدارة]]</f>
        <v>-1929300</v>
      </c>
      <c r="K6">
        <f>Tbl_Contributions[[#This Row],[رأس مال المساهم]] + Tbl_Contributions[[#This Row],[صافي ربح المساهم]]</f>
        <v>2570700</v>
      </c>
      <c r="L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">
        <f>Tbl_Contributions[[#This Row],[إجمالي المستحق للمساهم]] - Tbl_Contributions[[#This Row],[المسحوبات (تتضمن رد رأس المال والأرباح)]]</f>
        <v>2570700</v>
      </c>
      <c r="O6" t="str">
        <f>IF(ISBLANK(Tbl_Contributions[[#This Row],[نسبة الإدارة الخاصة به]]), "تنبيه: نسبة الإدارة غير مسجلة", "مكتمل")</f>
        <v>مكتمل</v>
      </c>
    </row>
    <row r="7" spans="1:15" x14ac:dyDescent="0.25">
      <c r="A7" s="5" t="str">
        <f>IFERROR(INDEX([1]!Tbl_Projects[كود المشروع], MATCH([1]!Tbl_Contributions[[#This Row],[اسم المشروع]], [1]!Tbl_Projects[اسم المشروع], 0)), "")</f>
        <v/>
      </c>
      <c r="B7" s="5" t="s">
        <v>124</v>
      </c>
      <c r="C7" s="5" t="str">
        <f>IFERROR(INDEX([1]!Tbl_Investors[كود المساهم], MATCH([1]!Tbl_Contributions[[#This Row],[اسم المساهم]], [1]!Tbl_Investors[اسم المساهم], 0)), "")</f>
        <v/>
      </c>
      <c r="D7" s="5" t="s">
        <v>42</v>
      </c>
      <c r="E7" s="5">
        <v>370000</v>
      </c>
      <c r="F7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2.4666666666666667E-2</v>
      </c>
      <c r="G7" s="5">
        <v>0.2</v>
      </c>
      <c r="H7" s="13">
        <f>IFERROR(INDEX(Tbl_Projects[صافي الربح], MATCH(Tbl_Contributions[[#This Row],[اسم المشروع]], Tbl_Projects[اسم المشروع], 0)) * Tbl_Contributions[[#This Row],[نسبة مساهمته]], 0)</f>
        <v>-158631.33333333334</v>
      </c>
      <c r="I7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7" s="13">
        <f>Tbl_Contributions[[#This Row],[حصة الربح قبل الإدارة]] - Tbl_Contributions[[#This Row],[نصيب الإدارة]]</f>
        <v>-158631.33333333334</v>
      </c>
      <c r="K7">
        <f>Tbl_Contributions[[#This Row],[رأس مال المساهم]] + Tbl_Contributions[[#This Row],[صافي ربح المساهم]]</f>
        <v>211368.66666666666</v>
      </c>
      <c r="L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7">
        <f>Tbl_Contributions[[#This Row],[إجمالي المستحق للمساهم]] - Tbl_Contributions[[#This Row],[المسحوبات (تتضمن رد رأس المال والأرباح)]]</f>
        <v>211368.66666666666</v>
      </c>
      <c r="O7" t="str">
        <f>IF(ISBLANK(Tbl_Contributions[[#This Row],[نسبة الإدارة الخاصة به]]), "تنبيه: نسبة الإدارة غير مسجلة", "مكتمل")</f>
        <v>مكتمل</v>
      </c>
    </row>
    <row r="8" spans="1:15" x14ac:dyDescent="0.25">
      <c r="A8" s="5" t="str">
        <f>IFERROR(INDEX([1]!Tbl_Projects[كود المشروع], MATCH([1]!Tbl_Contributions[[#This Row],[اسم المشروع]], [1]!Tbl_Projects[اسم المشروع], 0)), "")</f>
        <v/>
      </c>
      <c r="B8" s="5" t="s">
        <v>124</v>
      </c>
      <c r="C8" s="5" t="str">
        <f>IFERROR(INDEX([1]!Tbl_Investors[كود المساهم], MATCH([1]!Tbl_Contributions[[#This Row],[اسم المساهم]], [1]!Tbl_Investors[اسم المساهم], 0)), "")</f>
        <v/>
      </c>
      <c r="D8" s="5" t="s">
        <v>44</v>
      </c>
      <c r="E8" s="5">
        <v>125000</v>
      </c>
      <c r="F8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8.3333333333333332E-3</v>
      </c>
      <c r="G8" s="5">
        <v>0.2</v>
      </c>
      <c r="H8" s="13">
        <f>IFERROR(INDEX(Tbl_Projects[صافي الربح], MATCH(Tbl_Contributions[[#This Row],[اسم المشروع]], Tbl_Projects[اسم المشروع], 0)) * Tbl_Contributions[[#This Row],[نسبة مساهمته]], 0)</f>
        <v>-53591.666666666664</v>
      </c>
      <c r="I8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8" s="13">
        <f>Tbl_Contributions[[#This Row],[حصة الربح قبل الإدارة]] - Tbl_Contributions[[#This Row],[نصيب الإدارة]]</f>
        <v>-53591.666666666664</v>
      </c>
      <c r="K8">
        <f>Tbl_Contributions[[#This Row],[رأس مال المساهم]] + Tbl_Contributions[[#This Row],[صافي ربح المساهم]]</f>
        <v>71408.333333333343</v>
      </c>
      <c r="L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8">
        <f>Tbl_Contributions[[#This Row],[إجمالي المستحق للمساهم]] - Tbl_Contributions[[#This Row],[المسحوبات (تتضمن رد رأس المال والأرباح)]]</f>
        <v>71408.333333333343</v>
      </c>
      <c r="O8" t="str">
        <f>IF(ISBLANK(Tbl_Contributions[[#This Row],[نسبة الإدارة الخاصة به]]), "تنبيه: نسبة الإدارة غير مسجلة", "مكتمل")</f>
        <v>مكتمل</v>
      </c>
    </row>
    <row r="9" spans="1:15" x14ac:dyDescent="0.25">
      <c r="A9" s="5" t="str">
        <f>IFERROR(INDEX([1]!Tbl_Projects[كود المشروع], MATCH([1]!Tbl_Contributions[[#This Row],[اسم المشروع]], [1]!Tbl_Projects[اسم المشروع], 0)), "")</f>
        <v/>
      </c>
      <c r="B9" s="5" t="s">
        <v>124</v>
      </c>
      <c r="C9" s="5" t="str">
        <f>IFERROR(INDEX([1]!Tbl_Investors[كود المساهم], MATCH([1]!Tbl_Contributions[[#This Row],[اسم المساهم]], [1]!Tbl_Investors[اسم المساهم], 0)), "")</f>
        <v/>
      </c>
      <c r="D9" s="5" t="s">
        <v>46</v>
      </c>
      <c r="E9" s="5">
        <v>840000</v>
      </c>
      <c r="F9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5.6000000000000001E-2</v>
      </c>
      <c r="G9" s="5">
        <v>0.2</v>
      </c>
      <c r="H9" s="13">
        <f>IFERROR(INDEX(Tbl_Projects[صافي الربح], MATCH(Tbl_Contributions[[#This Row],[اسم المشروع]], Tbl_Projects[اسم المشروع], 0)) * Tbl_Contributions[[#This Row],[نسبة مساهمته]], 0)</f>
        <v>-360136</v>
      </c>
      <c r="I9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9" s="13">
        <f>Tbl_Contributions[[#This Row],[حصة الربح قبل الإدارة]] - Tbl_Contributions[[#This Row],[نصيب الإدارة]]</f>
        <v>-360136</v>
      </c>
      <c r="K9">
        <f>Tbl_Contributions[[#This Row],[رأس مال المساهم]] + Tbl_Contributions[[#This Row],[صافي ربح المساهم]]</f>
        <v>479864</v>
      </c>
      <c r="L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9">
        <f>Tbl_Contributions[[#This Row],[إجمالي المستحق للمساهم]] - Tbl_Contributions[[#This Row],[المسحوبات (تتضمن رد رأس المال والأرباح)]]</f>
        <v>479864</v>
      </c>
      <c r="O9" t="str">
        <f>IF(ISBLANK(Tbl_Contributions[[#This Row],[نسبة الإدارة الخاصة به]]), "تنبيه: نسبة الإدارة غير مسجلة", "مكتمل")</f>
        <v>مكتمل</v>
      </c>
    </row>
    <row r="10" spans="1:15" x14ac:dyDescent="0.25">
      <c r="A10" s="5" t="str">
        <f>IFERROR(INDEX([1]!Tbl_Projects[كود المشروع], MATCH([1]!Tbl_Contributions[[#This Row],[اسم المشروع]], [1]!Tbl_Projects[اسم المشروع], 0)), "")</f>
        <v/>
      </c>
      <c r="B10" s="5" t="s">
        <v>124</v>
      </c>
      <c r="C10" s="5" t="str">
        <f>IFERROR(INDEX([1]!Tbl_Investors[كود المساهم], MATCH([1]!Tbl_Contributions[[#This Row],[اسم المساهم]], [1]!Tbl_Investors[اسم المساهم], 0)), "")</f>
        <v/>
      </c>
      <c r="D10" s="5" t="s">
        <v>48</v>
      </c>
      <c r="E10" s="5">
        <v>325000</v>
      </c>
      <c r="F10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2.1666666666666667E-2</v>
      </c>
      <c r="G10" s="5">
        <v>0.2</v>
      </c>
      <c r="H10" s="13">
        <f>IFERROR(INDEX(Tbl_Projects[صافي الربح], MATCH(Tbl_Contributions[[#This Row],[اسم المشروع]], Tbl_Projects[اسم المشروع], 0)) * Tbl_Contributions[[#This Row],[نسبة مساهمته]], 0)</f>
        <v>-139338.33333333334</v>
      </c>
      <c r="I10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0" s="13">
        <f>Tbl_Contributions[[#This Row],[حصة الربح قبل الإدارة]] - Tbl_Contributions[[#This Row],[نصيب الإدارة]]</f>
        <v>-139338.33333333334</v>
      </c>
      <c r="K10">
        <f>Tbl_Contributions[[#This Row],[رأس مال المساهم]] + Tbl_Contributions[[#This Row],[صافي ربح المساهم]]</f>
        <v>185661.66666666666</v>
      </c>
      <c r="L1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0">
        <f>Tbl_Contributions[[#This Row],[إجمالي المستحق للمساهم]] - Tbl_Contributions[[#This Row],[المسحوبات (تتضمن رد رأس المال والأرباح)]]</f>
        <v>185661.66666666666</v>
      </c>
      <c r="O10" t="str">
        <f>IF(ISBLANK(Tbl_Contributions[[#This Row],[نسبة الإدارة الخاصة به]]), "تنبيه: نسبة الإدارة غير مسجلة", "مكتمل")</f>
        <v>مكتمل</v>
      </c>
    </row>
    <row r="11" spans="1:15" x14ac:dyDescent="0.25">
      <c r="A11" s="5" t="str">
        <f>IFERROR(INDEX([1]!Tbl_Projects[كود المشروع], MATCH([1]!Tbl_Contributions[[#This Row],[اسم المشروع]], [1]!Tbl_Projects[اسم المشروع], 0)), "")</f>
        <v/>
      </c>
      <c r="B11" s="5" t="s">
        <v>124</v>
      </c>
      <c r="C11" s="5" t="str">
        <f>IFERROR(INDEX([1]!Tbl_Investors[كود المساهم], MATCH([1]!Tbl_Contributions[[#This Row],[اسم المساهم]], [1]!Tbl_Investors[اسم المساهم], 0)), "")</f>
        <v/>
      </c>
      <c r="D11" s="5" t="s">
        <v>50</v>
      </c>
      <c r="E11" s="5">
        <v>245000</v>
      </c>
      <c r="F11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1.6333333333333332E-2</v>
      </c>
      <c r="G11" s="5">
        <v>0.2</v>
      </c>
      <c r="H11" s="13">
        <f>IFERROR(INDEX(Tbl_Projects[صافي الربح], MATCH(Tbl_Contributions[[#This Row],[اسم المشروع]], Tbl_Projects[اسم المشروع], 0)) * Tbl_Contributions[[#This Row],[نسبة مساهمته]], 0)</f>
        <v>-105039.66666666666</v>
      </c>
      <c r="I11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1" s="13">
        <f>Tbl_Contributions[[#This Row],[حصة الربح قبل الإدارة]] - Tbl_Contributions[[#This Row],[نصيب الإدارة]]</f>
        <v>-105039.66666666666</v>
      </c>
      <c r="K11">
        <f>Tbl_Contributions[[#This Row],[رأس مال المساهم]] + Tbl_Contributions[[#This Row],[صافي ربح المساهم]]</f>
        <v>139960.33333333334</v>
      </c>
      <c r="L1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1">
        <f>Tbl_Contributions[[#This Row],[إجمالي المستحق للمساهم]] - Tbl_Contributions[[#This Row],[المسحوبات (تتضمن رد رأس المال والأرباح)]]</f>
        <v>139960.33333333334</v>
      </c>
      <c r="O11" t="str">
        <f>IF(ISBLANK(Tbl_Contributions[[#This Row],[نسبة الإدارة الخاصة به]]), "تنبيه: نسبة الإدارة غير مسجلة", "مكتمل")</f>
        <v>مكتمل</v>
      </c>
    </row>
    <row r="12" spans="1:15" x14ac:dyDescent="0.25">
      <c r="A12" s="5" t="str">
        <f>IFERROR(INDEX([1]!Tbl_Projects[كود المشروع], MATCH([1]!Tbl_Contributions[[#This Row],[اسم المشروع]], [1]!Tbl_Projects[اسم المشروع], 0)), "")</f>
        <v/>
      </c>
      <c r="B12" s="5" t="s">
        <v>124</v>
      </c>
      <c r="C12" s="5" t="str">
        <f>IFERROR(INDEX([1]!Tbl_Investors[كود المساهم], MATCH([1]!Tbl_Contributions[[#This Row],[اسم المساهم]], [1]!Tbl_Investors[اسم المساهم], 0)), "")</f>
        <v/>
      </c>
      <c r="D12" s="5" t="s">
        <v>52</v>
      </c>
      <c r="E12" s="5">
        <v>1000000</v>
      </c>
      <c r="F12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6.6666666666666666E-2</v>
      </c>
      <c r="G12" s="5">
        <v>0.2</v>
      </c>
      <c r="H12" s="13">
        <f>IFERROR(INDEX(Tbl_Projects[صافي الربح], MATCH(Tbl_Contributions[[#This Row],[اسم المشروع]], Tbl_Projects[اسم المشروع], 0)) * Tbl_Contributions[[#This Row],[نسبة مساهمته]], 0)</f>
        <v>-428733.33333333331</v>
      </c>
      <c r="I12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2" s="13">
        <f>Tbl_Contributions[[#This Row],[حصة الربح قبل الإدارة]] - Tbl_Contributions[[#This Row],[نصيب الإدارة]]</f>
        <v>-428733.33333333331</v>
      </c>
      <c r="K12">
        <f>Tbl_Contributions[[#This Row],[رأس مال المساهم]] + Tbl_Contributions[[#This Row],[صافي ربح المساهم]]</f>
        <v>571266.66666666674</v>
      </c>
      <c r="L1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2">
        <f>Tbl_Contributions[[#This Row],[إجمالي المستحق للمساهم]] - Tbl_Contributions[[#This Row],[المسحوبات (تتضمن رد رأس المال والأرباح)]]</f>
        <v>571266.66666666674</v>
      </c>
      <c r="O12" t="str">
        <f>IF(ISBLANK(Tbl_Contributions[[#This Row],[نسبة الإدارة الخاصة به]]), "تنبيه: نسبة الإدارة غير مسجلة", "مكتمل")</f>
        <v>مكتمل</v>
      </c>
    </row>
    <row r="13" spans="1:15" x14ac:dyDescent="0.25">
      <c r="A13" s="5" t="str">
        <f>IFERROR(INDEX([1]!Tbl_Projects[كود المشروع], MATCH([1]!Tbl_Contributions[[#This Row],[اسم المشروع]], [1]!Tbl_Projects[اسم المشروع], 0)), "")</f>
        <v/>
      </c>
      <c r="B13" s="5" t="s">
        <v>124</v>
      </c>
      <c r="C13" s="5" t="str">
        <f>IFERROR(INDEX([1]!Tbl_Investors[كود المساهم], MATCH([1]!Tbl_Contributions[[#This Row],[اسم المساهم]], [1]!Tbl_Investors[اسم المساهم], 0)), "")</f>
        <v/>
      </c>
      <c r="D13" s="5" t="s">
        <v>54</v>
      </c>
      <c r="E13" s="5">
        <v>450000</v>
      </c>
      <c r="F13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0.03</v>
      </c>
      <c r="G13" s="5">
        <v>0.2</v>
      </c>
      <c r="H13" s="13">
        <f>IFERROR(INDEX(Tbl_Projects[صافي الربح], MATCH(Tbl_Contributions[[#This Row],[اسم المشروع]], Tbl_Projects[اسم المشروع], 0)) * Tbl_Contributions[[#This Row],[نسبة مساهمته]], 0)</f>
        <v>-192930</v>
      </c>
      <c r="I13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3" s="13">
        <f>Tbl_Contributions[[#This Row],[حصة الربح قبل الإدارة]] - Tbl_Contributions[[#This Row],[نصيب الإدارة]]</f>
        <v>-192930</v>
      </c>
      <c r="K13">
        <f>Tbl_Contributions[[#This Row],[رأس مال المساهم]] + Tbl_Contributions[[#This Row],[صافي ربح المساهم]]</f>
        <v>257070</v>
      </c>
      <c r="L1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3">
        <f>Tbl_Contributions[[#This Row],[إجمالي المستحق للمساهم]] - Tbl_Contributions[[#This Row],[المسحوبات (تتضمن رد رأس المال والأرباح)]]</f>
        <v>257070</v>
      </c>
      <c r="O13" t="str">
        <f>IF(ISBLANK(Tbl_Contributions[[#This Row],[نسبة الإدارة الخاصة به]]), "تنبيه: نسبة الإدارة غير مسجلة", "مكتمل")</f>
        <v>مكتمل</v>
      </c>
    </row>
    <row r="14" spans="1:15" x14ac:dyDescent="0.25">
      <c r="A14" s="5" t="str">
        <f>IFERROR(INDEX([1]!Tbl_Projects[كود المشروع], MATCH([1]!Tbl_Contributions[[#This Row],[اسم المشروع]], [1]!Tbl_Projects[اسم المشروع], 0)), "")</f>
        <v/>
      </c>
      <c r="B14" s="5" t="s">
        <v>124</v>
      </c>
      <c r="C14" s="5" t="str">
        <f>IFERROR(INDEX([1]!Tbl_Investors[كود المساهم], MATCH([1]!Tbl_Contributions[[#This Row],[اسم المساهم]], [1]!Tbl_Investors[اسم المساهم], 0)), "")</f>
        <v/>
      </c>
      <c r="D14" s="5" t="s">
        <v>56</v>
      </c>
      <c r="E14" s="5">
        <v>750000</v>
      </c>
      <c r="F14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0.05</v>
      </c>
      <c r="G14" s="5">
        <v>0.2</v>
      </c>
      <c r="H14" s="13">
        <f>IFERROR(INDEX(Tbl_Projects[صافي الربح], MATCH(Tbl_Contributions[[#This Row],[اسم المشروع]], Tbl_Projects[اسم المشروع], 0)) * Tbl_Contributions[[#This Row],[نسبة مساهمته]], 0)</f>
        <v>-321550</v>
      </c>
      <c r="I14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4" s="13">
        <f>Tbl_Contributions[[#This Row],[حصة الربح قبل الإدارة]] - Tbl_Contributions[[#This Row],[نصيب الإدارة]]</f>
        <v>-321550</v>
      </c>
      <c r="K14">
        <f>Tbl_Contributions[[#This Row],[رأس مال المساهم]] + Tbl_Contributions[[#This Row],[صافي ربح المساهم]]</f>
        <v>428450</v>
      </c>
      <c r="L1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4">
        <f>Tbl_Contributions[[#This Row],[إجمالي المستحق للمساهم]] - Tbl_Contributions[[#This Row],[المسحوبات (تتضمن رد رأس المال والأرباح)]]</f>
        <v>428450</v>
      </c>
      <c r="O14" t="str">
        <f>IF(ISBLANK(Tbl_Contributions[[#This Row],[نسبة الإدارة الخاصة به]]), "تنبيه: نسبة الإدارة غير مسجلة", "مكتمل")</f>
        <v>مكتمل</v>
      </c>
    </row>
    <row r="15" spans="1:15" x14ac:dyDescent="0.25">
      <c r="A15" s="5" t="str">
        <f>IFERROR(INDEX([1]!Tbl_Projects[كود المشروع], MATCH([1]!Tbl_Contributions[[#This Row],[اسم المشروع]], [1]!Tbl_Projects[اسم المشروع], 0)), "")</f>
        <v/>
      </c>
      <c r="B15" s="5" t="s">
        <v>124</v>
      </c>
      <c r="C15" s="5" t="str">
        <f>IFERROR(INDEX([1]!Tbl_Investors[كود المساهم], MATCH([1]!Tbl_Contributions[[#This Row],[اسم المساهم]], [1]!Tbl_Investors[اسم المساهم], 0)), "")</f>
        <v/>
      </c>
      <c r="D15" s="5" t="s">
        <v>58</v>
      </c>
      <c r="E15" s="5">
        <v>795000</v>
      </c>
      <c r="F15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5.2999999999999999E-2</v>
      </c>
      <c r="G15" s="5">
        <v>0.2</v>
      </c>
      <c r="H15" s="13">
        <f>IFERROR(INDEX(Tbl_Projects[صافي الربح], MATCH(Tbl_Contributions[[#This Row],[اسم المشروع]], Tbl_Projects[اسم المشروع], 0)) * Tbl_Contributions[[#This Row],[نسبة مساهمته]], 0)</f>
        <v>-340843</v>
      </c>
      <c r="I15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5" s="13">
        <f>Tbl_Contributions[[#This Row],[حصة الربح قبل الإدارة]] - Tbl_Contributions[[#This Row],[نصيب الإدارة]]</f>
        <v>-340843</v>
      </c>
      <c r="K15">
        <f>Tbl_Contributions[[#This Row],[رأس مال المساهم]] + Tbl_Contributions[[#This Row],[صافي ربح المساهم]]</f>
        <v>454157</v>
      </c>
      <c r="L1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5">
        <f>Tbl_Contributions[[#This Row],[إجمالي المستحق للمساهم]] - Tbl_Contributions[[#This Row],[المسحوبات (تتضمن رد رأس المال والأرباح)]]</f>
        <v>454157</v>
      </c>
      <c r="O15" t="str">
        <f>IF(ISBLANK(Tbl_Contributions[[#This Row],[نسبة الإدارة الخاصة به]]), "تنبيه: نسبة الإدارة غير مسجلة", "مكتمل")</f>
        <v>مكتمل</v>
      </c>
    </row>
    <row r="16" spans="1:15" x14ac:dyDescent="0.25">
      <c r="A16" s="5" t="str">
        <f>IFERROR(INDEX([1]!Tbl_Projects[كود المشروع], MATCH([1]!Tbl_Contributions[[#This Row],[اسم المشروع]], [1]!Tbl_Projects[اسم المشروع], 0)), "")</f>
        <v/>
      </c>
      <c r="B16" s="5" t="s">
        <v>127</v>
      </c>
      <c r="C16" s="5" t="str">
        <f>IFERROR(INDEX([1]!Tbl_Investors[كود المساهم], MATCH([1]!Tbl_Contributions[[#This Row],[اسم المساهم]], [1]!Tbl_Investors[اسم المساهم], 0)), "")</f>
        <v/>
      </c>
      <c r="D16" s="5" t="s">
        <v>66</v>
      </c>
      <c r="E16" s="5">
        <v>1000000</v>
      </c>
      <c r="F16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7.6923076923076927E-2</v>
      </c>
      <c r="G16" s="5">
        <v>0.2</v>
      </c>
      <c r="H16" s="13">
        <f>IFERROR(INDEX(Tbl_Projects[صافي الربح], MATCH(Tbl_Contributions[[#This Row],[اسم المشروع]], Tbl_Projects[اسم المشروع], 0)) * Tbl_Contributions[[#This Row],[نسبة مساهمته]], 0)</f>
        <v>-1000000</v>
      </c>
      <c r="I16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6" s="13">
        <f>Tbl_Contributions[[#This Row],[حصة الربح قبل الإدارة]] - Tbl_Contributions[[#This Row],[نصيب الإدارة]]</f>
        <v>-1000000</v>
      </c>
      <c r="K16">
        <f>Tbl_Contributions[[#This Row],[رأس مال المساهم]] + Tbl_Contributions[[#This Row],[صافي ربح المساهم]]</f>
        <v>0</v>
      </c>
      <c r="L1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6">
        <f>Tbl_Contributions[[#This Row],[إجمالي المستحق للمساهم]] - Tbl_Contributions[[#This Row],[المسحوبات (تتضمن رد رأس المال والأرباح)]]</f>
        <v>0</v>
      </c>
      <c r="O16" t="str">
        <f>IF(ISBLANK(Tbl_Contributions[[#This Row],[نسبة الإدارة الخاصة به]]), "تنبيه: نسبة الإدارة غير مسجلة", "مكتمل")</f>
        <v>مكتمل</v>
      </c>
    </row>
    <row r="17" spans="1:15" x14ac:dyDescent="0.25">
      <c r="A17" s="5" t="str">
        <f>IFERROR(INDEX([1]!Tbl_Projects[كود المشروع], MATCH([1]!Tbl_Contributions[[#This Row],[اسم المشروع]], [1]!Tbl_Projects[اسم المشروع], 0)), "")</f>
        <v/>
      </c>
      <c r="B17" s="5" t="s">
        <v>127</v>
      </c>
      <c r="C17" s="5" t="str">
        <f>IFERROR(INDEX([1]!Tbl_Investors[كود المساهم], MATCH([1]!Tbl_Contributions[[#This Row],[اسم المساهم]], [1]!Tbl_Investors[اسم المساهم], 0)), "")</f>
        <v/>
      </c>
      <c r="D17" s="5" t="s">
        <v>54</v>
      </c>
      <c r="E17" s="5">
        <v>991000</v>
      </c>
      <c r="F17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7.6230769230769227E-2</v>
      </c>
      <c r="G17" s="5">
        <v>0.2</v>
      </c>
      <c r="H17" s="13">
        <f>IFERROR(INDEX(Tbl_Projects[صافي الربح], MATCH(Tbl_Contributions[[#This Row],[اسم المشروع]], Tbl_Projects[اسم المشروع], 0)) * Tbl_Contributions[[#This Row],[نسبة مساهمته]], 0)</f>
        <v>-991000</v>
      </c>
      <c r="I17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7" s="13">
        <f>Tbl_Contributions[[#This Row],[حصة الربح قبل الإدارة]] - Tbl_Contributions[[#This Row],[نصيب الإدارة]]</f>
        <v>-991000</v>
      </c>
      <c r="K17">
        <f>Tbl_Contributions[[#This Row],[رأس مال المساهم]] + Tbl_Contributions[[#This Row],[صافي ربح المساهم]]</f>
        <v>0</v>
      </c>
      <c r="L1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7">
        <f>Tbl_Contributions[[#This Row],[إجمالي المستحق للمساهم]] - Tbl_Contributions[[#This Row],[المسحوبات (تتضمن رد رأس المال والأرباح)]]</f>
        <v>0</v>
      </c>
      <c r="O17" t="str">
        <f>IF(ISBLANK(Tbl_Contributions[[#This Row],[نسبة الإدارة الخاصة به]]), "تنبيه: نسبة الإدارة غير مسجلة", "مكتمل")</f>
        <v>مكتمل</v>
      </c>
    </row>
    <row r="18" spans="1:15" x14ac:dyDescent="0.25">
      <c r="A18" s="5" t="str">
        <f>IFERROR(INDEX([1]!Tbl_Projects[كود المشروع], MATCH([1]!Tbl_Contributions[[#This Row],[اسم المشروع]], [1]!Tbl_Projects[اسم المشروع], 0)), "")</f>
        <v/>
      </c>
      <c r="B18" s="5" t="s">
        <v>127</v>
      </c>
      <c r="C18" s="5" t="str">
        <f>IFERROR(INDEX([1]!Tbl_Investors[كود المساهم], MATCH([1]!Tbl_Contributions[[#This Row],[اسم المساهم]], [1]!Tbl_Investors[اسم المساهم], 0)), "")</f>
        <v/>
      </c>
      <c r="D18" s="5" t="s">
        <v>68</v>
      </c>
      <c r="E18" s="5">
        <v>1500000</v>
      </c>
      <c r="F18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0.11538461538461539</v>
      </c>
      <c r="G18" s="5">
        <v>0.2</v>
      </c>
      <c r="H18" s="13">
        <f>IFERROR(INDEX(Tbl_Projects[صافي الربح], MATCH(Tbl_Contributions[[#This Row],[اسم المشروع]], Tbl_Projects[اسم المشروع], 0)) * Tbl_Contributions[[#This Row],[نسبة مساهمته]], 0)</f>
        <v>-1500000</v>
      </c>
      <c r="I18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8" s="13">
        <f>Tbl_Contributions[[#This Row],[حصة الربح قبل الإدارة]] - Tbl_Contributions[[#This Row],[نصيب الإدارة]]</f>
        <v>-1500000</v>
      </c>
      <c r="K18">
        <f>Tbl_Contributions[[#This Row],[رأس مال المساهم]] + Tbl_Contributions[[#This Row],[صافي ربح المساهم]]</f>
        <v>0</v>
      </c>
      <c r="L1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8">
        <f>Tbl_Contributions[[#This Row],[إجمالي المستحق للمساهم]] - Tbl_Contributions[[#This Row],[المسحوبات (تتضمن رد رأس المال والأرباح)]]</f>
        <v>0</v>
      </c>
      <c r="O18" t="str">
        <f>IF(ISBLANK(Tbl_Contributions[[#This Row],[نسبة الإدارة الخاصة به]]), "تنبيه: نسبة الإدارة غير مسجلة", "مكتمل")</f>
        <v>مكتمل</v>
      </c>
    </row>
    <row r="19" spans="1:15" x14ac:dyDescent="0.25">
      <c r="A19" s="5" t="str">
        <f>IFERROR(INDEX([1]!Tbl_Projects[كود المشروع], MATCH([1]!Tbl_Contributions[[#This Row],[اسم المشروع]], [1]!Tbl_Projects[اسم المشروع], 0)), "")</f>
        <v/>
      </c>
      <c r="B19" s="5" t="s">
        <v>127</v>
      </c>
      <c r="C19" s="5" t="str">
        <f>IFERROR(INDEX([1]!Tbl_Investors[كود المساهم], MATCH([1]!Tbl_Contributions[[#This Row],[اسم المساهم]], [1]!Tbl_Investors[اسم المساهم], 0)), "")</f>
        <v/>
      </c>
      <c r="D19" s="5" t="s">
        <v>46</v>
      </c>
      <c r="E19" s="5">
        <v>1893650</v>
      </c>
      <c r="F19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0.14566538461538461</v>
      </c>
      <c r="G19" s="5">
        <v>0.2</v>
      </c>
      <c r="H19" s="13">
        <f>IFERROR(INDEX(Tbl_Projects[صافي الربح], MATCH(Tbl_Contributions[[#This Row],[اسم المشروع]], Tbl_Projects[اسم المشروع], 0)) * Tbl_Contributions[[#This Row],[نسبة مساهمته]], 0)</f>
        <v>-1893650</v>
      </c>
      <c r="I19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19" s="13">
        <f>Tbl_Contributions[[#This Row],[حصة الربح قبل الإدارة]] - Tbl_Contributions[[#This Row],[نصيب الإدارة]]</f>
        <v>-1893650</v>
      </c>
      <c r="K19">
        <f>Tbl_Contributions[[#This Row],[رأس مال المساهم]] + Tbl_Contributions[[#This Row],[صافي ربح المساهم]]</f>
        <v>0</v>
      </c>
      <c r="L1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1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19">
        <f>Tbl_Contributions[[#This Row],[إجمالي المستحق للمساهم]] - Tbl_Contributions[[#This Row],[المسحوبات (تتضمن رد رأس المال والأرباح)]]</f>
        <v>0</v>
      </c>
      <c r="O19" t="str">
        <f>IF(ISBLANK(Tbl_Contributions[[#This Row],[نسبة الإدارة الخاصة به]]), "تنبيه: نسبة الإدارة غير مسجلة", "مكتمل")</f>
        <v>مكتمل</v>
      </c>
    </row>
    <row r="20" spans="1:15" x14ac:dyDescent="0.25">
      <c r="A20" s="5" t="str">
        <f>IFERROR(INDEX([1]!Tbl_Projects[كود المشروع], MATCH([1]!Tbl_Contributions[[#This Row],[اسم المشروع]], [1]!Tbl_Projects[اسم المشروع], 0)), "")</f>
        <v/>
      </c>
      <c r="B20" s="5" t="s">
        <v>127</v>
      </c>
      <c r="C20" s="5" t="str">
        <f>IFERROR(INDEX([1]!Tbl_Investors[كود المساهم], MATCH([1]!Tbl_Contributions[[#This Row],[اسم المساهم]], [1]!Tbl_Investors[اسم المساهم], 0)), "")</f>
        <v/>
      </c>
      <c r="D20" s="5" t="s">
        <v>70</v>
      </c>
      <c r="E20" s="5">
        <v>915000</v>
      </c>
      <c r="F20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7.0384615384615379E-2</v>
      </c>
      <c r="G20" s="5">
        <v>0.2</v>
      </c>
      <c r="H20" s="13">
        <f>IFERROR(INDEX(Tbl_Projects[صافي الربح], MATCH(Tbl_Contributions[[#This Row],[اسم المشروع]], Tbl_Projects[اسم المشروع], 0)) * Tbl_Contributions[[#This Row],[نسبة مساهمته]], 0)</f>
        <v>-914999.99999999988</v>
      </c>
      <c r="I20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0" s="13">
        <f>Tbl_Contributions[[#This Row],[حصة الربح قبل الإدارة]] - Tbl_Contributions[[#This Row],[نصيب الإدارة]]</f>
        <v>-914999.99999999988</v>
      </c>
      <c r="K20">
        <f>Tbl_Contributions[[#This Row],[رأس مال المساهم]] + Tbl_Contributions[[#This Row],[صافي ربح المساهم]]</f>
        <v>0</v>
      </c>
      <c r="L2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0">
        <f>Tbl_Contributions[[#This Row],[إجمالي المستحق للمساهم]] - Tbl_Contributions[[#This Row],[المسحوبات (تتضمن رد رأس المال والأرباح)]]</f>
        <v>0</v>
      </c>
      <c r="O20" t="str">
        <f>IF(ISBLANK(Tbl_Contributions[[#This Row],[نسبة الإدارة الخاصة به]]), "تنبيه: نسبة الإدارة غير مسجلة", "مكتمل")</f>
        <v>مكتمل</v>
      </c>
    </row>
    <row r="21" spans="1:15" x14ac:dyDescent="0.25">
      <c r="A21" s="5" t="str">
        <f>IFERROR(INDEX([1]!Tbl_Projects[كود المشروع], MATCH([1]!Tbl_Contributions[[#This Row],[اسم المشروع]], [1]!Tbl_Projects[اسم المشروع], 0)), "")</f>
        <v/>
      </c>
      <c r="B21" s="5" t="s">
        <v>127</v>
      </c>
      <c r="C21" s="5" t="str">
        <f>IFERROR(INDEX([1]!Tbl_Investors[كود المساهم], MATCH([1]!Tbl_Contributions[[#This Row],[اسم المساهم]], [1]!Tbl_Investors[اسم المساهم], 0)), "")</f>
        <v/>
      </c>
      <c r="D21" s="5" t="s">
        <v>40</v>
      </c>
      <c r="E21" s="5">
        <v>2940000</v>
      </c>
      <c r="F21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0.22615384615384615</v>
      </c>
      <c r="G21" s="5">
        <v>0.2</v>
      </c>
      <c r="H21" s="13">
        <f>IFERROR(INDEX(Tbl_Projects[صافي الربح], MATCH(Tbl_Contributions[[#This Row],[اسم المشروع]], Tbl_Projects[اسم المشروع], 0)) * Tbl_Contributions[[#This Row],[نسبة مساهمته]], 0)</f>
        <v>-2940000</v>
      </c>
      <c r="I21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1" s="13">
        <f>Tbl_Contributions[[#This Row],[حصة الربح قبل الإدارة]] - Tbl_Contributions[[#This Row],[نصيب الإدارة]]</f>
        <v>-2940000</v>
      </c>
      <c r="K21">
        <f>Tbl_Contributions[[#This Row],[رأس مال المساهم]] + Tbl_Contributions[[#This Row],[صافي ربح المساهم]]</f>
        <v>0</v>
      </c>
      <c r="L2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1">
        <f>Tbl_Contributions[[#This Row],[إجمالي المستحق للمساهم]] - Tbl_Contributions[[#This Row],[المسحوبات (تتضمن رد رأس المال والأرباح)]]</f>
        <v>0</v>
      </c>
      <c r="O21" t="str">
        <f>IF(ISBLANK(Tbl_Contributions[[#This Row],[نسبة الإدارة الخاصة به]]), "تنبيه: نسبة الإدارة غير مسجلة", "مكتمل")</f>
        <v>مكتمل</v>
      </c>
    </row>
    <row r="22" spans="1:15" x14ac:dyDescent="0.25">
      <c r="A22" s="5" t="str">
        <f>IFERROR(INDEX([1]!Tbl_Projects[كود المشروع], MATCH([1]!Tbl_Contributions[[#This Row],[اسم المشروع]], [1]!Tbl_Projects[اسم المشروع], 0)), "")</f>
        <v/>
      </c>
      <c r="B22" s="5" t="s">
        <v>127</v>
      </c>
      <c r="C22" s="5" t="str">
        <f>IFERROR(INDEX([1]!Tbl_Investors[كود المساهم], MATCH([1]!Tbl_Contributions[[#This Row],[اسم المساهم]], [1]!Tbl_Investors[اسم المساهم], 0)), "")</f>
        <v/>
      </c>
      <c r="D22" s="5" t="s">
        <v>72</v>
      </c>
      <c r="E22" s="5">
        <v>500000</v>
      </c>
      <c r="F22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3.8461538461538464E-2</v>
      </c>
      <c r="G22" s="5">
        <v>0.2</v>
      </c>
      <c r="H22" s="13">
        <f>IFERROR(INDEX(Tbl_Projects[صافي الربح], MATCH(Tbl_Contributions[[#This Row],[اسم المشروع]], Tbl_Projects[اسم المشروع], 0)) * Tbl_Contributions[[#This Row],[نسبة مساهمته]], 0)</f>
        <v>-500000</v>
      </c>
      <c r="I22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2" s="13">
        <f>Tbl_Contributions[[#This Row],[حصة الربح قبل الإدارة]] - Tbl_Contributions[[#This Row],[نصيب الإدارة]]</f>
        <v>-500000</v>
      </c>
      <c r="K22">
        <f>Tbl_Contributions[[#This Row],[رأس مال المساهم]] + Tbl_Contributions[[#This Row],[صافي ربح المساهم]]</f>
        <v>0</v>
      </c>
      <c r="L2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2">
        <f>Tbl_Contributions[[#This Row],[إجمالي المستحق للمساهم]] - Tbl_Contributions[[#This Row],[المسحوبات (تتضمن رد رأس المال والأرباح)]]</f>
        <v>0</v>
      </c>
      <c r="O22" t="str">
        <f>IF(ISBLANK(Tbl_Contributions[[#This Row],[نسبة الإدارة الخاصة به]]), "تنبيه: نسبة الإدارة غير مسجلة", "مكتمل")</f>
        <v>مكتمل</v>
      </c>
    </row>
    <row r="23" spans="1:15" x14ac:dyDescent="0.25">
      <c r="A23" s="5" t="str">
        <f>IFERROR(INDEX([1]!Tbl_Projects[كود المشروع], MATCH([1]!Tbl_Contributions[[#This Row],[اسم المشروع]], [1]!Tbl_Projects[اسم المشروع], 0)), "")</f>
        <v/>
      </c>
      <c r="B23" s="5" t="s">
        <v>127</v>
      </c>
      <c r="C23" s="5" t="str">
        <f>IFERROR(INDEX([1]!Tbl_Investors[كود المساهم], MATCH([1]!Tbl_Contributions[[#This Row],[اسم المساهم]], [1]!Tbl_Investors[اسم المساهم], 0)), "")</f>
        <v/>
      </c>
      <c r="D23" s="5" t="s">
        <v>74</v>
      </c>
      <c r="E23" s="5">
        <v>500000</v>
      </c>
      <c r="F23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3.8461538461538464E-2</v>
      </c>
      <c r="G23" s="5">
        <v>0.2</v>
      </c>
      <c r="H23" s="13">
        <f>IFERROR(INDEX(Tbl_Projects[صافي الربح], MATCH(Tbl_Contributions[[#This Row],[اسم المشروع]], Tbl_Projects[اسم المشروع], 0)) * Tbl_Contributions[[#This Row],[نسبة مساهمته]], 0)</f>
        <v>-500000</v>
      </c>
      <c r="I23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3" s="13">
        <f>Tbl_Contributions[[#This Row],[حصة الربح قبل الإدارة]] - Tbl_Contributions[[#This Row],[نصيب الإدارة]]</f>
        <v>-500000</v>
      </c>
      <c r="K23">
        <f>Tbl_Contributions[[#This Row],[رأس مال المساهم]] + Tbl_Contributions[[#This Row],[صافي ربح المساهم]]</f>
        <v>0</v>
      </c>
      <c r="L2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3">
        <f>Tbl_Contributions[[#This Row],[إجمالي المستحق للمساهم]] - Tbl_Contributions[[#This Row],[المسحوبات (تتضمن رد رأس المال والأرباح)]]</f>
        <v>0</v>
      </c>
      <c r="O23" t="str">
        <f>IF(ISBLANK(Tbl_Contributions[[#This Row],[نسبة الإدارة الخاصة به]]), "تنبيه: نسبة الإدارة غير مسجلة", "مكتمل")</f>
        <v>مكتمل</v>
      </c>
    </row>
    <row r="24" spans="1:15" x14ac:dyDescent="0.25">
      <c r="A24" s="5" t="str">
        <f>IFERROR(INDEX([1]!Tbl_Projects[كود المشروع], MATCH([1]!Tbl_Contributions[[#This Row],[اسم المشروع]], [1]!Tbl_Projects[اسم المشروع], 0)), "")</f>
        <v/>
      </c>
      <c r="B24" s="5" t="s">
        <v>127</v>
      </c>
      <c r="C24" s="5" t="str">
        <f>IFERROR(INDEX([1]!Tbl_Investors[كود المساهم], MATCH([1]!Tbl_Contributions[[#This Row],[اسم المساهم]], [1]!Tbl_Investors[اسم المساهم], 0)), "")</f>
        <v/>
      </c>
      <c r="D24" s="5" t="s">
        <v>76</v>
      </c>
      <c r="E24" s="5">
        <v>820000</v>
      </c>
      <c r="F24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6.3076923076923072E-2</v>
      </c>
      <c r="G24" s="5">
        <v>0.2</v>
      </c>
      <c r="H24" s="13">
        <f>IFERROR(INDEX(Tbl_Projects[صافي الربح], MATCH(Tbl_Contributions[[#This Row],[اسم المشروع]], Tbl_Projects[اسم المشروع], 0)) * Tbl_Contributions[[#This Row],[نسبة مساهمته]], 0)</f>
        <v>-819999.99999999988</v>
      </c>
      <c r="I24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4" s="13">
        <f>Tbl_Contributions[[#This Row],[حصة الربح قبل الإدارة]] - Tbl_Contributions[[#This Row],[نصيب الإدارة]]</f>
        <v>-819999.99999999988</v>
      </c>
      <c r="K24">
        <f>Tbl_Contributions[[#This Row],[رأس مال المساهم]] + Tbl_Contributions[[#This Row],[صافي ربح المساهم]]</f>
        <v>0</v>
      </c>
      <c r="L2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4">
        <f>Tbl_Contributions[[#This Row],[إجمالي المستحق للمساهم]] - Tbl_Contributions[[#This Row],[المسحوبات (تتضمن رد رأس المال والأرباح)]]</f>
        <v>0</v>
      </c>
      <c r="O24" t="str">
        <f>IF(ISBLANK(Tbl_Contributions[[#This Row],[نسبة الإدارة الخاصة به]]), "تنبيه: نسبة الإدارة غير مسجلة", "مكتمل")</f>
        <v>مكتمل</v>
      </c>
    </row>
    <row r="25" spans="1:15" x14ac:dyDescent="0.25">
      <c r="A25" s="5" t="str">
        <f>IFERROR(INDEX([1]!Tbl_Projects[كود المشروع], MATCH([1]!Tbl_Contributions[[#This Row],[اسم المشروع]], [1]!Tbl_Projects[اسم المشروع], 0)), "")</f>
        <v/>
      </c>
      <c r="B25" s="5" t="s">
        <v>127</v>
      </c>
      <c r="C25" s="5" t="str">
        <f>IFERROR(INDEX([1]!Tbl_Investors[كود المساهم], MATCH([1]!Tbl_Contributions[[#This Row],[اسم المساهم]], [1]!Tbl_Investors[اسم المساهم], 0)), "")</f>
        <v/>
      </c>
      <c r="D25" s="5" t="s">
        <v>44</v>
      </c>
      <c r="E25" s="5">
        <v>400000</v>
      </c>
      <c r="F25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3.0769230769230771E-2</v>
      </c>
      <c r="G25" s="5">
        <v>0.2</v>
      </c>
      <c r="H25" s="13">
        <f>IFERROR(INDEX(Tbl_Projects[صافي الربح], MATCH(Tbl_Contributions[[#This Row],[اسم المشروع]], Tbl_Projects[اسم المشروع], 0)) * Tbl_Contributions[[#This Row],[نسبة مساهمته]], 0)</f>
        <v>-400000</v>
      </c>
      <c r="I25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5" s="13">
        <f>Tbl_Contributions[[#This Row],[حصة الربح قبل الإدارة]] - Tbl_Contributions[[#This Row],[نصيب الإدارة]]</f>
        <v>-400000</v>
      </c>
      <c r="K25">
        <f>Tbl_Contributions[[#This Row],[رأس مال المساهم]] + Tbl_Contributions[[#This Row],[صافي ربح المساهم]]</f>
        <v>0</v>
      </c>
      <c r="L2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5">
        <f>Tbl_Contributions[[#This Row],[إجمالي المستحق للمساهم]] - Tbl_Contributions[[#This Row],[المسحوبات (تتضمن رد رأس المال والأرباح)]]</f>
        <v>0</v>
      </c>
      <c r="O25" t="str">
        <f>IF(ISBLANK(Tbl_Contributions[[#This Row],[نسبة الإدارة الخاصة به]]), "تنبيه: نسبة الإدارة غير مسجلة", "مكتمل")</f>
        <v>مكتمل</v>
      </c>
    </row>
    <row r="26" spans="1:15" x14ac:dyDescent="0.25">
      <c r="A26" s="5" t="str">
        <f>IFERROR(INDEX([1]!Tbl_Projects[كود المشروع], MATCH([1]!Tbl_Contributions[[#This Row],[اسم المشروع]], [1]!Tbl_Projects[اسم المشروع], 0)), "")</f>
        <v/>
      </c>
      <c r="B26" s="5" t="s">
        <v>127</v>
      </c>
      <c r="C26" s="5" t="str">
        <f>IFERROR(INDEX([1]!Tbl_Investors[كود المساهم], MATCH([1]!Tbl_Contributions[[#This Row],[اسم المساهم]], [1]!Tbl_Investors[اسم المساهم], 0)), "")</f>
        <v/>
      </c>
      <c r="D26" s="5" t="s">
        <v>64</v>
      </c>
      <c r="E26" s="5">
        <v>180000</v>
      </c>
      <c r="F26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1.3846153846153847E-2</v>
      </c>
      <c r="G26" s="5">
        <v>0.2</v>
      </c>
      <c r="H26" s="13">
        <f>IFERROR(INDEX(Tbl_Projects[صافي الربح], MATCH(Tbl_Contributions[[#This Row],[اسم المشروع]], Tbl_Projects[اسم المشروع], 0)) * Tbl_Contributions[[#This Row],[نسبة مساهمته]], 0)</f>
        <v>-180000</v>
      </c>
      <c r="I26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6" s="13">
        <f>Tbl_Contributions[[#This Row],[حصة الربح قبل الإدارة]] - Tbl_Contributions[[#This Row],[نصيب الإدارة]]</f>
        <v>-180000</v>
      </c>
      <c r="K26">
        <f>Tbl_Contributions[[#This Row],[رأس مال المساهم]] + Tbl_Contributions[[#This Row],[صافي ربح المساهم]]</f>
        <v>0</v>
      </c>
      <c r="L2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6">
        <f>Tbl_Contributions[[#This Row],[إجمالي المستحق للمساهم]] - Tbl_Contributions[[#This Row],[المسحوبات (تتضمن رد رأس المال والأرباح)]]</f>
        <v>0</v>
      </c>
      <c r="O26" t="str">
        <f>IF(ISBLANK(Tbl_Contributions[[#This Row],[نسبة الإدارة الخاصة به]]), "تنبيه: نسبة الإدارة غير مسجلة", "مكتمل")</f>
        <v>مكتمل</v>
      </c>
    </row>
    <row r="27" spans="1:15" x14ac:dyDescent="0.25">
      <c r="A27" s="5" t="str">
        <f>IFERROR(INDEX([1]!Tbl_Projects[كود المشروع], MATCH([1]!Tbl_Contributions[[#This Row],[اسم المشروع]], [1]!Tbl_Projects[اسم المشروع], 0)), "")</f>
        <v/>
      </c>
      <c r="B27" s="5" t="s">
        <v>127</v>
      </c>
      <c r="C27" s="5" t="str">
        <f>IFERROR(INDEX([1]!Tbl_Investors[كود المساهم], MATCH([1]!Tbl_Contributions[[#This Row],[اسم المساهم]], [1]!Tbl_Investors[اسم المساهم], 0)), "")</f>
        <v/>
      </c>
      <c r="D27" s="5" t="s">
        <v>78</v>
      </c>
      <c r="E27" s="5">
        <v>295200</v>
      </c>
      <c r="F27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2.2707692307692307E-2</v>
      </c>
      <c r="G27" s="5">
        <v>0.2</v>
      </c>
      <c r="H27" s="13">
        <f>IFERROR(INDEX(Tbl_Projects[صافي الربح], MATCH(Tbl_Contributions[[#This Row],[اسم المشروع]], Tbl_Projects[اسم المشروع], 0)) * Tbl_Contributions[[#This Row],[نسبة مساهمته]], 0)</f>
        <v>-295200</v>
      </c>
      <c r="I27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7" s="13">
        <f>Tbl_Contributions[[#This Row],[حصة الربح قبل الإدارة]] - Tbl_Contributions[[#This Row],[نصيب الإدارة]]</f>
        <v>-295200</v>
      </c>
      <c r="K27">
        <f>Tbl_Contributions[[#This Row],[رأس مال المساهم]] + Tbl_Contributions[[#This Row],[صافي ربح المساهم]]</f>
        <v>0</v>
      </c>
      <c r="L2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7">
        <f>Tbl_Contributions[[#This Row],[إجمالي المستحق للمساهم]] - Tbl_Contributions[[#This Row],[المسحوبات (تتضمن رد رأس المال والأرباح)]]</f>
        <v>0</v>
      </c>
      <c r="O27" t="str">
        <f>IF(ISBLANK(Tbl_Contributions[[#This Row],[نسبة الإدارة الخاصة به]]), "تنبيه: نسبة الإدارة غير مسجلة", "مكتمل")</f>
        <v>مكتمل</v>
      </c>
    </row>
    <row r="28" spans="1:15" x14ac:dyDescent="0.25">
      <c r="A28" s="5" t="str">
        <f>IFERROR(INDEX([1]!Tbl_Projects[كود المشروع], MATCH([1]!Tbl_Contributions[[#This Row],[اسم المشروع]], [1]!Tbl_Projects[اسم المشروع], 0)), "")</f>
        <v/>
      </c>
      <c r="B28" s="5" t="s">
        <v>127</v>
      </c>
      <c r="C28" s="5" t="str">
        <f>IFERROR(INDEX([1]!Tbl_Investors[كود المساهم], MATCH([1]!Tbl_Contributions[[#This Row],[اسم المساهم]], [1]!Tbl_Investors[اسم المساهم], 0)), "")</f>
        <v/>
      </c>
      <c r="D28" s="5" t="s">
        <v>80</v>
      </c>
      <c r="E28" s="5">
        <v>500000</v>
      </c>
      <c r="F28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3.8461538461538464E-2</v>
      </c>
      <c r="G28" s="5">
        <v>0.2</v>
      </c>
      <c r="H28" s="13">
        <f>IFERROR(INDEX(Tbl_Projects[صافي الربح], MATCH(Tbl_Contributions[[#This Row],[اسم المشروع]], Tbl_Projects[اسم المشروع], 0)) * Tbl_Contributions[[#This Row],[نسبة مساهمته]], 0)</f>
        <v>-500000</v>
      </c>
      <c r="I28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8" s="13">
        <f>Tbl_Contributions[[#This Row],[حصة الربح قبل الإدارة]] - Tbl_Contributions[[#This Row],[نصيب الإدارة]]</f>
        <v>-500000</v>
      </c>
      <c r="K28">
        <f>Tbl_Contributions[[#This Row],[رأس مال المساهم]] + Tbl_Contributions[[#This Row],[صافي ربح المساهم]]</f>
        <v>0</v>
      </c>
      <c r="L2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8">
        <f>Tbl_Contributions[[#This Row],[إجمالي المستحق للمساهم]] - Tbl_Contributions[[#This Row],[المسحوبات (تتضمن رد رأس المال والأرباح)]]</f>
        <v>0</v>
      </c>
      <c r="O28" t="str">
        <f>IF(ISBLANK(Tbl_Contributions[[#This Row],[نسبة الإدارة الخاصة به]]), "تنبيه: نسبة الإدارة غير مسجلة", "مكتمل")</f>
        <v>مكتمل</v>
      </c>
    </row>
    <row r="29" spans="1:15" x14ac:dyDescent="0.25">
      <c r="A29" s="5" t="str">
        <f>IFERROR(INDEX([1]!Tbl_Projects[كود المشروع], MATCH([1]!Tbl_Contributions[[#This Row],[اسم المشروع]], [1]!Tbl_Projects[اسم المشروع], 0)), "")</f>
        <v/>
      </c>
      <c r="B29" s="5" t="s">
        <v>127</v>
      </c>
      <c r="C29" s="5" t="str">
        <f>IFERROR(INDEX([1]!Tbl_Investors[كود المساهم], MATCH([1]!Tbl_Contributions[[#This Row],[اسم المساهم]], [1]!Tbl_Investors[اسم المساهم], 0)), "")</f>
        <v/>
      </c>
      <c r="D29" s="5" t="s">
        <v>58</v>
      </c>
      <c r="E29" s="5">
        <v>80650</v>
      </c>
      <c r="F29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6.2038461538461535E-3</v>
      </c>
      <c r="G29" s="5">
        <v>0.2</v>
      </c>
      <c r="H29" s="13">
        <f>IFERROR(INDEX(Tbl_Projects[صافي الربح], MATCH(Tbl_Contributions[[#This Row],[اسم المشروع]], Tbl_Projects[اسم المشروع], 0)) * Tbl_Contributions[[#This Row],[نسبة مساهمته]], 0)</f>
        <v>-80650</v>
      </c>
      <c r="I29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29" s="13">
        <f>Tbl_Contributions[[#This Row],[حصة الربح قبل الإدارة]] - Tbl_Contributions[[#This Row],[نصيب الإدارة]]</f>
        <v>-80650</v>
      </c>
      <c r="K29">
        <f>Tbl_Contributions[[#This Row],[رأس مال المساهم]] + Tbl_Contributions[[#This Row],[صافي ربح المساهم]]</f>
        <v>0</v>
      </c>
      <c r="L2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2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29">
        <f>Tbl_Contributions[[#This Row],[إجمالي المستحق للمساهم]] - Tbl_Contributions[[#This Row],[المسحوبات (تتضمن رد رأس المال والأرباح)]]</f>
        <v>0</v>
      </c>
      <c r="O29" t="str">
        <f>IF(ISBLANK(Tbl_Contributions[[#This Row],[نسبة الإدارة الخاصة به]]), "تنبيه: نسبة الإدارة غير مسجلة", "مكتمل")</f>
        <v>مكتمل</v>
      </c>
    </row>
    <row r="30" spans="1:15" x14ac:dyDescent="0.25">
      <c r="A30" s="5" t="str">
        <f>IFERROR(INDEX([1]!Tbl_Projects[كود المشروع], MATCH([1]!Tbl_Contributions[[#This Row],[اسم المشروع]], [1]!Tbl_Projects[اسم المشروع], 0)), "")</f>
        <v/>
      </c>
      <c r="B30" s="5" t="s">
        <v>127</v>
      </c>
      <c r="C30" s="5" t="str">
        <f>IFERROR(INDEX([1]!Tbl_Investors[كود المساهم], MATCH([1]!Tbl_Contributions[[#This Row],[اسم المساهم]], [1]!Tbl_Investors[اسم المساهم], 0)), "")</f>
        <v/>
      </c>
      <c r="D30" s="5" t="s">
        <v>82</v>
      </c>
      <c r="E30" s="5">
        <v>484500</v>
      </c>
      <c r="F30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3.726923076923077E-2</v>
      </c>
      <c r="G30" s="5">
        <v>0.2</v>
      </c>
      <c r="H30" s="13">
        <f>IFERROR(INDEX(Tbl_Projects[صافي الربح], MATCH(Tbl_Contributions[[#This Row],[اسم المشروع]], Tbl_Projects[اسم المشروع], 0)) * Tbl_Contributions[[#This Row],[نسبة مساهمته]], 0)</f>
        <v>-484500</v>
      </c>
      <c r="I30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0" s="13">
        <f>Tbl_Contributions[[#This Row],[حصة الربح قبل الإدارة]] - Tbl_Contributions[[#This Row],[نصيب الإدارة]]</f>
        <v>-484500</v>
      </c>
      <c r="K30">
        <f>Tbl_Contributions[[#This Row],[رأس مال المساهم]] + Tbl_Contributions[[#This Row],[صافي ربح المساهم]]</f>
        <v>0</v>
      </c>
      <c r="L3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0">
        <f>Tbl_Contributions[[#This Row],[إجمالي المستحق للمساهم]] - Tbl_Contributions[[#This Row],[المسحوبات (تتضمن رد رأس المال والأرباح)]]</f>
        <v>0</v>
      </c>
      <c r="O30" t="str">
        <f>IF(ISBLANK(Tbl_Contributions[[#This Row],[نسبة الإدارة الخاصة به]]), "تنبيه: نسبة الإدارة غير مسجلة", "مكتمل")</f>
        <v>مكتمل</v>
      </c>
    </row>
    <row r="31" spans="1:15" x14ac:dyDescent="0.25">
      <c r="A31" s="5" t="str">
        <f>IFERROR(INDEX([1]!Tbl_Projects[كود المشروع], MATCH([1]!Tbl_Contributions[[#This Row],[اسم المشروع]], [1]!Tbl_Projects[اسم المشروع], 0)), "")</f>
        <v/>
      </c>
      <c r="B31" s="5" t="s">
        <v>130</v>
      </c>
      <c r="C31" s="5" t="str">
        <f>IFERROR(INDEX([1]!Tbl_Investors[كود المساهم], MATCH([1]!Tbl_Contributions[[#This Row],[اسم المساهم]], [1]!Tbl_Investors[اسم المساهم], 0)), "")</f>
        <v/>
      </c>
      <c r="D31" s="5" t="s">
        <v>60</v>
      </c>
      <c r="E31" s="5">
        <v>2000000</v>
      </c>
      <c r="F31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0.39999999920000001</v>
      </c>
      <c r="G31" s="5">
        <v>0.2</v>
      </c>
      <c r="H31" s="13">
        <f>IFERROR(INDEX(Tbl_Projects[صافي الربح], MATCH(Tbl_Contributions[[#This Row],[اسم المشروع]], Tbl_Projects[اسم المشروع], 0)) * Tbl_Contributions[[#This Row],[نسبة مساهمته]], 0)</f>
        <v>-2000000</v>
      </c>
      <c r="I31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1" s="13">
        <f>Tbl_Contributions[[#This Row],[حصة الربح قبل الإدارة]] - Tbl_Contributions[[#This Row],[نصيب الإدارة]]</f>
        <v>-2000000</v>
      </c>
      <c r="K31">
        <f>Tbl_Contributions[[#This Row],[رأس مال المساهم]] + Tbl_Contributions[[#This Row],[صافي ربح المساهم]]</f>
        <v>0</v>
      </c>
      <c r="L3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1">
        <f>Tbl_Contributions[[#This Row],[إجمالي المستحق للمساهم]] - Tbl_Contributions[[#This Row],[المسحوبات (تتضمن رد رأس المال والأرباح)]]</f>
        <v>0</v>
      </c>
      <c r="O31" t="str">
        <f>IF(ISBLANK(Tbl_Contributions[[#This Row],[نسبة الإدارة الخاصة به]]), "تنبيه: نسبة الإدارة غير مسجلة", "مكتمل")</f>
        <v>مكتمل</v>
      </c>
    </row>
    <row r="32" spans="1:15" x14ac:dyDescent="0.25">
      <c r="A32" s="5" t="str">
        <f>IFERROR(INDEX([1]!Tbl_Projects[كود المشروع], MATCH([1]!Tbl_Contributions[[#This Row],[اسم المشروع]], [1]!Tbl_Projects[اسم المشروع], 0)), "")</f>
        <v/>
      </c>
      <c r="B32" s="5" t="s">
        <v>130</v>
      </c>
      <c r="C32" s="5" t="str">
        <f>IFERROR(INDEX([1]!Tbl_Investors[كود المساهم], MATCH([1]!Tbl_Contributions[[#This Row],[اسم المساهم]], [1]!Tbl_Investors[اسم المساهم], 0)), "")</f>
        <v/>
      </c>
      <c r="D32" s="5" t="s">
        <v>40</v>
      </c>
      <c r="E32" s="5">
        <v>1216667</v>
      </c>
      <c r="F32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0.24333339951333322</v>
      </c>
      <c r="G32" s="5">
        <v>0.2</v>
      </c>
      <c r="H32" s="13">
        <f>IFERROR(INDEX(Tbl_Projects[صافي الربح], MATCH(Tbl_Contributions[[#This Row],[اسم المشروع]], Tbl_Projects[اسم المشروع], 0)) * Tbl_Contributions[[#This Row],[نسبة مساهمته]], 0)</f>
        <v>-1216667</v>
      </c>
      <c r="I32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2" s="13">
        <f>Tbl_Contributions[[#This Row],[حصة الربح قبل الإدارة]] - Tbl_Contributions[[#This Row],[نصيب الإدارة]]</f>
        <v>-1216667</v>
      </c>
      <c r="K32">
        <f>Tbl_Contributions[[#This Row],[رأس مال المساهم]] + Tbl_Contributions[[#This Row],[صافي ربح المساهم]]</f>
        <v>0</v>
      </c>
      <c r="L3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2">
        <f>Tbl_Contributions[[#This Row],[إجمالي المستحق للمساهم]] - Tbl_Contributions[[#This Row],[المسحوبات (تتضمن رد رأس المال والأرباح)]]</f>
        <v>0</v>
      </c>
      <c r="O32" t="str">
        <f>IF(ISBLANK(Tbl_Contributions[[#This Row],[نسبة الإدارة الخاصة به]]), "تنبيه: نسبة الإدارة غير مسجلة", "مكتمل")</f>
        <v>مكتمل</v>
      </c>
    </row>
    <row r="33" spans="1:15" x14ac:dyDescent="0.25">
      <c r="A33" s="5" t="str">
        <f>IFERROR(INDEX([1]!Tbl_Projects[كود المشروع], MATCH([1]!Tbl_Contributions[[#This Row],[اسم المشروع]], [1]!Tbl_Projects[اسم المشروع], 0)), "")</f>
        <v/>
      </c>
      <c r="B33" s="5" t="s">
        <v>130</v>
      </c>
      <c r="C33" s="5" t="str">
        <f>IFERROR(INDEX([1]!Tbl_Investors[كود المساهم], MATCH([1]!Tbl_Contributions[[#This Row],[اسم المساهم]], [1]!Tbl_Investors[اسم المساهم], 0)), "")</f>
        <v/>
      </c>
      <c r="D33" s="5" t="s">
        <v>64</v>
      </c>
      <c r="E33" s="5">
        <v>100000</v>
      </c>
      <c r="F33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1.9999999960000001E-2</v>
      </c>
      <c r="G33" s="5">
        <v>0.2</v>
      </c>
      <c r="H33" s="13">
        <f>IFERROR(INDEX(Tbl_Projects[صافي الربح], MATCH(Tbl_Contributions[[#This Row],[اسم المشروع]], Tbl_Projects[اسم المشروع], 0)) * Tbl_Contributions[[#This Row],[نسبة مساهمته]], 0)</f>
        <v>-100000</v>
      </c>
      <c r="I33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3" s="13">
        <f>Tbl_Contributions[[#This Row],[حصة الربح قبل الإدارة]] - Tbl_Contributions[[#This Row],[نصيب الإدارة]]</f>
        <v>-100000</v>
      </c>
      <c r="K33">
        <f>Tbl_Contributions[[#This Row],[رأس مال المساهم]] + Tbl_Contributions[[#This Row],[صافي ربح المساهم]]</f>
        <v>0</v>
      </c>
      <c r="L3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3">
        <f>Tbl_Contributions[[#This Row],[إجمالي المستحق للمساهم]] - Tbl_Contributions[[#This Row],[المسحوبات (تتضمن رد رأس المال والأرباح)]]</f>
        <v>0</v>
      </c>
      <c r="O33" t="str">
        <f>IF(ISBLANK(Tbl_Contributions[[#This Row],[نسبة الإدارة الخاصة به]]), "تنبيه: نسبة الإدارة غير مسجلة", "مكتمل")</f>
        <v>مكتمل</v>
      </c>
    </row>
    <row r="34" spans="1:15" x14ac:dyDescent="0.25">
      <c r="A34" s="5" t="str">
        <f>IFERROR(INDEX([1]!Tbl_Projects[كود المشروع], MATCH([1]!Tbl_Contributions[[#This Row],[اسم المشروع]], [1]!Tbl_Projects[اسم المشروع], 0)), "")</f>
        <v/>
      </c>
      <c r="B34" s="5" t="s">
        <v>130</v>
      </c>
      <c r="C34" s="5" t="str">
        <f>IFERROR(INDEX([1]!Tbl_Investors[كود المساهم], MATCH([1]!Tbl_Contributions[[#This Row],[اسم المساهم]], [1]!Tbl_Investors[اسم المساهم], 0)), "")</f>
        <v/>
      </c>
      <c r="D34" s="5" t="s">
        <v>58</v>
      </c>
      <c r="E34" s="5">
        <v>912666.67</v>
      </c>
      <c r="F34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0.18253333363493335</v>
      </c>
      <c r="G34" s="5">
        <v>0.2</v>
      </c>
      <c r="H34" s="13">
        <f>IFERROR(INDEX(Tbl_Projects[صافي الربح], MATCH(Tbl_Contributions[[#This Row],[اسم المشروع]], Tbl_Projects[اسم المشروع], 0)) * Tbl_Contributions[[#This Row],[نسبة مساهمته]], 0)</f>
        <v>-912666.67</v>
      </c>
      <c r="I34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4" s="13">
        <f>Tbl_Contributions[[#This Row],[حصة الربح قبل الإدارة]] - Tbl_Contributions[[#This Row],[نصيب الإدارة]]</f>
        <v>-912666.67</v>
      </c>
      <c r="K34">
        <f>Tbl_Contributions[[#This Row],[رأس مال المساهم]] + Tbl_Contributions[[#This Row],[صافي ربح المساهم]]</f>
        <v>0</v>
      </c>
      <c r="L3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4">
        <f>Tbl_Contributions[[#This Row],[إجمالي المستحق للمساهم]] - Tbl_Contributions[[#This Row],[المسحوبات (تتضمن رد رأس المال والأرباح)]]</f>
        <v>0</v>
      </c>
      <c r="O34" t="str">
        <f>IF(ISBLANK(Tbl_Contributions[[#This Row],[نسبة الإدارة الخاصة به]]), "تنبيه: نسبة الإدارة غير مسجلة", "مكتمل")</f>
        <v>مكتمل</v>
      </c>
    </row>
    <row r="35" spans="1:15" x14ac:dyDescent="0.25">
      <c r="A35" s="5" t="str">
        <f>IFERROR(INDEX([1]!Tbl_Projects[كود المشروع], MATCH([1]!Tbl_Contributions[[#This Row],[اسم المشروع]], [1]!Tbl_Projects[اسم المشروع], 0)), "")</f>
        <v/>
      </c>
      <c r="B35" s="5" t="s">
        <v>130</v>
      </c>
      <c r="C35" s="5" t="str">
        <f>IFERROR(INDEX([1]!Tbl_Investors[كود المساهم], MATCH([1]!Tbl_Contributions[[#This Row],[اسم المساهم]], [1]!Tbl_Investors[اسم المساهم], 0)), "")</f>
        <v/>
      </c>
      <c r="D35" s="5" t="s">
        <v>38</v>
      </c>
      <c r="E35" s="5">
        <v>266666.67</v>
      </c>
      <c r="F35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5.3333333893333335E-2</v>
      </c>
      <c r="G35" s="5">
        <v>0.2</v>
      </c>
      <c r="H35" s="13">
        <f>IFERROR(INDEX(Tbl_Projects[صافي الربح], MATCH(Tbl_Contributions[[#This Row],[اسم المشروع]], Tbl_Projects[اسم المشروع], 0)) * Tbl_Contributions[[#This Row],[نسبة مساهمته]], 0)</f>
        <v>-266666.67</v>
      </c>
      <c r="I35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5" s="13">
        <f>Tbl_Contributions[[#This Row],[حصة الربح قبل الإدارة]] - Tbl_Contributions[[#This Row],[نصيب الإدارة]]</f>
        <v>-266666.67</v>
      </c>
      <c r="K35">
        <f>Tbl_Contributions[[#This Row],[رأس مال المساهم]] + Tbl_Contributions[[#This Row],[صافي ربح المساهم]]</f>
        <v>0</v>
      </c>
      <c r="L3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5">
        <f>Tbl_Contributions[[#This Row],[إجمالي المستحق للمساهم]] - Tbl_Contributions[[#This Row],[المسحوبات (تتضمن رد رأس المال والأرباح)]]</f>
        <v>0</v>
      </c>
      <c r="O35" t="str">
        <f>IF(ISBLANK(Tbl_Contributions[[#This Row],[نسبة الإدارة الخاصة به]]), "تنبيه: نسبة الإدارة غير مسجلة", "مكتمل")</f>
        <v>مكتمل</v>
      </c>
    </row>
    <row r="36" spans="1:15" x14ac:dyDescent="0.25">
      <c r="A36" s="5" t="str">
        <f>IFERROR(INDEX([1]!Tbl_Projects[كود المشروع], MATCH([1]!Tbl_Contributions[[#This Row],[اسم المشروع]], [1]!Tbl_Projects[اسم المشروع], 0)), "")</f>
        <v/>
      </c>
      <c r="B36" s="5" t="s">
        <v>130</v>
      </c>
      <c r="C36" s="5" t="str">
        <f>IFERROR(INDEX([1]!Tbl_Investors[كود المساهم], MATCH([1]!Tbl_Contributions[[#This Row],[اسم المساهم]], [1]!Tbl_Investors[اسم المساهم], 0)), "")</f>
        <v/>
      </c>
      <c r="D36" s="5" t="s">
        <v>42</v>
      </c>
      <c r="E36" s="5">
        <v>49333.33</v>
      </c>
      <c r="F36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9.8666659802666683E-3</v>
      </c>
      <c r="G36" s="5">
        <v>0.2</v>
      </c>
      <c r="H36" s="13">
        <f>IFERROR(INDEX(Tbl_Projects[صافي الربح], MATCH(Tbl_Contributions[[#This Row],[اسم المشروع]], Tbl_Projects[اسم المشروع], 0)) * Tbl_Contributions[[#This Row],[نسبة مساهمته]], 0)</f>
        <v>-49333.33</v>
      </c>
      <c r="I36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6" s="13">
        <f>Tbl_Contributions[[#This Row],[حصة الربح قبل الإدارة]] - Tbl_Contributions[[#This Row],[نصيب الإدارة]]</f>
        <v>-49333.33</v>
      </c>
      <c r="K36">
        <f>Tbl_Contributions[[#This Row],[رأس مال المساهم]] + Tbl_Contributions[[#This Row],[صافي ربح المساهم]]</f>
        <v>0</v>
      </c>
      <c r="L3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6">
        <f>Tbl_Contributions[[#This Row],[إجمالي المستحق للمساهم]] - Tbl_Contributions[[#This Row],[المسحوبات (تتضمن رد رأس المال والأرباح)]]</f>
        <v>0</v>
      </c>
      <c r="O36" t="str">
        <f>IF(ISBLANK(Tbl_Contributions[[#This Row],[نسبة الإدارة الخاصة به]]), "تنبيه: نسبة الإدارة غير مسجلة", "مكتمل")</f>
        <v>مكتمل</v>
      </c>
    </row>
    <row r="37" spans="1:15" x14ac:dyDescent="0.25">
      <c r="A37" s="5" t="str">
        <f>IFERROR(INDEX([1]!Tbl_Projects[كود المشروع], MATCH([1]!Tbl_Contributions[[#This Row],[اسم المشروع]], [1]!Tbl_Projects[اسم المشروع], 0)), "")</f>
        <v/>
      </c>
      <c r="B37" s="5" t="s">
        <v>130</v>
      </c>
      <c r="C37" s="5" t="str">
        <f>IFERROR(INDEX([1]!Tbl_Investors[كود المساهم], MATCH([1]!Tbl_Contributions[[#This Row],[اسم المساهم]], [1]!Tbl_Investors[اسم المساهم], 0)), "")</f>
        <v/>
      </c>
      <c r="D37" s="5" t="s">
        <v>44</v>
      </c>
      <c r="E37" s="5">
        <v>16666.669999999998</v>
      </c>
      <c r="F37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3.3333339933333318E-3</v>
      </c>
      <c r="G37" s="5">
        <v>0.2</v>
      </c>
      <c r="H37" s="13">
        <f>IFERROR(INDEX(Tbl_Projects[صافي الربح], MATCH(Tbl_Contributions[[#This Row],[اسم المشروع]], Tbl_Projects[اسم المشروع], 0)) * Tbl_Contributions[[#This Row],[نسبة مساهمته]], 0)</f>
        <v>-16666.669999999998</v>
      </c>
      <c r="I37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7" s="13">
        <f>Tbl_Contributions[[#This Row],[حصة الربح قبل الإدارة]] - Tbl_Contributions[[#This Row],[نصيب الإدارة]]</f>
        <v>-16666.669999999998</v>
      </c>
      <c r="K37">
        <f>Tbl_Contributions[[#This Row],[رأس مال المساهم]] + Tbl_Contributions[[#This Row],[صافي ربح المساهم]]</f>
        <v>0</v>
      </c>
      <c r="L3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7">
        <f>Tbl_Contributions[[#This Row],[إجمالي المستحق للمساهم]] - Tbl_Contributions[[#This Row],[المسحوبات (تتضمن رد رأس المال والأرباح)]]</f>
        <v>0</v>
      </c>
      <c r="O37" t="str">
        <f>IF(ISBLANK(Tbl_Contributions[[#This Row],[نسبة الإدارة الخاصة به]]), "تنبيه: نسبة الإدارة غير مسجلة", "مكتمل")</f>
        <v>مكتمل</v>
      </c>
    </row>
    <row r="38" spans="1:15" x14ac:dyDescent="0.25">
      <c r="A38" s="5" t="str">
        <f>IFERROR(INDEX([1]!Tbl_Projects[كود المشروع], MATCH([1]!Tbl_Contributions[[#This Row],[اسم المشروع]], [1]!Tbl_Projects[اسم المشروع], 0)), "")</f>
        <v/>
      </c>
      <c r="B38" s="5" t="s">
        <v>130</v>
      </c>
      <c r="C38" s="5" t="str">
        <f>IFERROR(INDEX([1]!Tbl_Investors[كود المساهم], MATCH([1]!Tbl_Contributions[[#This Row],[اسم المساهم]], [1]!Tbl_Investors[اسم المساهم], 0)), "")</f>
        <v/>
      </c>
      <c r="D38" s="5" t="s">
        <v>46</v>
      </c>
      <c r="E38" s="5">
        <v>112000</v>
      </c>
      <c r="F38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2.2399999955200003E-2</v>
      </c>
      <c r="G38" s="5">
        <v>0.2</v>
      </c>
      <c r="H38" s="13">
        <f>IFERROR(INDEX(Tbl_Projects[صافي الربح], MATCH(Tbl_Contributions[[#This Row],[اسم المشروع]], Tbl_Projects[اسم المشروع], 0)) * Tbl_Contributions[[#This Row],[نسبة مساهمته]], 0)</f>
        <v>-112000.00000000001</v>
      </c>
      <c r="I38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8" s="13">
        <f>Tbl_Contributions[[#This Row],[حصة الربح قبل الإدارة]] - Tbl_Contributions[[#This Row],[نصيب الإدارة]]</f>
        <v>-112000.00000000001</v>
      </c>
      <c r="K38">
        <f>Tbl_Contributions[[#This Row],[رأس مال المساهم]] + Tbl_Contributions[[#This Row],[صافي ربح المساهم]]</f>
        <v>0</v>
      </c>
      <c r="L3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8">
        <f>Tbl_Contributions[[#This Row],[إجمالي المستحق للمساهم]] - Tbl_Contributions[[#This Row],[المسحوبات (تتضمن رد رأس المال والأرباح)]]</f>
        <v>0</v>
      </c>
      <c r="O38" t="str">
        <f>IF(ISBLANK(Tbl_Contributions[[#This Row],[نسبة الإدارة الخاصة به]]), "تنبيه: نسبة الإدارة غير مسجلة", "مكتمل")</f>
        <v>مكتمل</v>
      </c>
    </row>
    <row r="39" spans="1:15" x14ac:dyDescent="0.25">
      <c r="A39" s="5" t="str">
        <f>IFERROR(INDEX([1]!Tbl_Projects[كود المشروع], MATCH([1]!Tbl_Contributions[[#This Row],[اسم المشروع]], [1]!Tbl_Projects[اسم المشروع], 0)), "")</f>
        <v/>
      </c>
      <c r="B39" s="5" t="s">
        <v>130</v>
      </c>
      <c r="C39" s="5" t="str">
        <f>IFERROR(INDEX([1]!Tbl_Investors[كود المساهم], MATCH([1]!Tbl_Contributions[[#This Row],[اسم المساهم]], [1]!Tbl_Investors[اسم المساهم], 0)), "")</f>
        <v/>
      </c>
      <c r="D39" s="5" t="s">
        <v>50</v>
      </c>
      <c r="E39" s="5">
        <v>32666.67</v>
      </c>
      <c r="F39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6.5333339869333316E-3</v>
      </c>
      <c r="G39" s="5">
        <v>0.2</v>
      </c>
      <c r="H39" s="13">
        <f>IFERROR(INDEX(Tbl_Projects[صافي الربح], MATCH(Tbl_Contributions[[#This Row],[اسم المشروع]], Tbl_Projects[اسم المشروع], 0)) * Tbl_Contributions[[#This Row],[نسبة مساهمته]], 0)</f>
        <v>-32666.67</v>
      </c>
      <c r="I39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39" s="13">
        <f>Tbl_Contributions[[#This Row],[حصة الربح قبل الإدارة]] - Tbl_Contributions[[#This Row],[نصيب الإدارة]]</f>
        <v>-32666.67</v>
      </c>
      <c r="K39">
        <f>Tbl_Contributions[[#This Row],[رأس مال المساهم]] + Tbl_Contributions[[#This Row],[صافي ربح المساهم]]</f>
        <v>0</v>
      </c>
      <c r="L3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3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39">
        <f>Tbl_Contributions[[#This Row],[إجمالي المستحق للمساهم]] - Tbl_Contributions[[#This Row],[المسحوبات (تتضمن رد رأس المال والأرباح)]]</f>
        <v>0</v>
      </c>
      <c r="O39" t="str">
        <f>IF(ISBLANK(Tbl_Contributions[[#This Row],[نسبة الإدارة الخاصة به]]), "تنبيه: نسبة الإدارة غير مسجلة", "مكتمل")</f>
        <v>مكتمل</v>
      </c>
    </row>
    <row r="40" spans="1:15" x14ac:dyDescent="0.25">
      <c r="A40" s="5" t="str">
        <f>IFERROR(INDEX([1]!Tbl_Projects[كود المشروع], MATCH([1]!Tbl_Contributions[[#This Row],[اسم المشروع]], [1]!Tbl_Projects[اسم المشروع], 0)), "")</f>
        <v/>
      </c>
      <c r="B40" s="5" t="s">
        <v>130</v>
      </c>
      <c r="C40" s="5" t="str">
        <f>IFERROR(INDEX([1]!Tbl_Investors[كود المساهم], MATCH([1]!Tbl_Contributions[[#This Row],[اسم المساهم]], [1]!Tbl_Investors[اسم المساهم], 0)), "")</f>
        <v/>
      </c>
      <c r="D40" s="5" t="s">
        <v>52</v>
      </c>
      <c r="E40" s="5">
        <v>133333</v>
      </c>
      <c r="F40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2.66665999466668E-2</v>
      </c>
      <c r="G40" s="5">
        <v>0.2</v>
      </c>
      <c r="H40" s="13">
        <f>IFERROR(INDEX(Tbl_Projects[صافي الربح], MATCH(Tbl_Contributions[[#This Row],[اسم المشروع]], Tbl_Projects[اسم المشروع], 0)) * Tbl_Contributions[[#This Row],[نسبة مساهمته]], 0)</f>
        <v>-133333</v>
      </c>
      <c r="I40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40" s="13">
        <f>Tbl_Contributions[[#This Row],[حصة الربح قبل الإدارة]] - Tbl_Contributions[[#This Row],[نصيب الإدارة]]</f>
        <v>-133333</v>
      </c>
      <c r="K40">
        <f>Tbl_Contributions[[#This Row],[رأس مال المساهم]] + Tbl_Contributions[[#This Row],[صافي ربح المساهم]]</f>
        <v>0</v>
      </c>
      <c r="L4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0">
        <f>Tbl_Contributions[[#This Row],[إجمالي المستحق للمساهم]] - Tbl_Contributions[[#This Row],[المسحوبات (تتضمن رد رأس المال والأرباح)]]</f>
        <v>0</v>
      </c>
      <c r="O40" t="str">
        <f>IF(ISBLANK(Tbl_Contributions[[#This Row],[نسبة الإدارة الخاصة به]]), "تنبيه: نسبة الإدارة غير مسجلة", "مكتمل")</f>
        <v>مكتمل</v>
      </c>
    </row>
    <row r="41" spans="1:15" x14ac:dyDescent="0.25">
      <c r="A41" s="5" t="str">
        <f>IFERROR(INDEX([1]!Tbl_Projects[كود المشروع], MATCH([1]!Tbl_Contributions[[#This Row],[اسم المشروع]], [1]!Tbl_Projects[اسم المشروع], 0)), "")</f>
        <v/>
      </c>
      <c r="B41" s="5" t="s">
        <v>130</v>
      </c>
      <c r="C41" s="5" t="str">
        <f>IFERROR(INDEX([1]!Tbl_Investors[كود المساهم], MATCH([1]!Tbl_Contributions[[#This Row],[اسم المساهم]], [1]!Tbl_Investors[اسم المساهم], 0)), "")</f>
        <v/>
      </c>
      <c r="D41" s="5" t="s">
        <v>54</v>
      </c>
      <c r="E41" s="5">
        <v>60000</v>
      </c>
      <c r="F41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1.1999999976E-2</v>
      </c>
      <c r="G41" s="5">
        <v>0.2</v>
      </c>
      <c r="H41" s="13">
        <f>IFERROR(INDEX(Tbl_Projects[صافي الربح], MATCH(Tbl_Contributions[[#This Row],[اسم المشروع]], Tbl_Projects[اسم المشروع], 0)) * Tbl_Contributions[[#This Row],[نسبة مساهمته]], 0)</f>
        <v>-60000</v>
      </c>
      <c r="I41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41" s="13">
        <f>Tbl_Contributions[[#This Row],[حصة الربح قبل الإدارة]] - Tbl_Contributions[[#This Row],[نصيب الإدارة]]</f>
        <v>-60000</v>
      </c>
      <c r="K41">
        <f>Tbl_Contributions[[#This Row],[رأس مال المساهم]] + Tbl_Contributions[[#This Row],[صافي ربح المساهم]]</f>
        <v>0</v>
      </c>
      <c r="L4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1">
        <f>Tbl_Contributions[[#This Row],[إجمالي المستحق للمساهم]] - Tbl_Contributions[[#This Row],[المسحوبات (تتضمن رد رأس المال والأرباح)]]</f>
        <v>0</v>
      </c>
      <c r="O41" t="str">
        <f>IF(ISBLANK(Tbl_Contributions[[#This Row],[نسبة الإدارة الخاصة به]]), "تنبيه: نسبة الإدارة غير مسجلة", "مكتمل")</f>
        <v>مكتمل</v>
      </c>
    </row>
    <row r="42" spans="1:15" x14ac:dyDescent="0.25">
      <c r="A42" s="5" t="str">
        <f>IFERROR(INDEX([1]!Tbl_Projects[كود المشروع], MATCH([1]!Tbl_Contributions[[#This Row],[اسم المشروع]], [1]!Tbl_Projects[اسم المشروع], 0)), "")</f>
        <v/>
      </c>
      <c r="B42" s="5" t="s">
        <v>130</v>
      </c>
      <c r="C42" s="5" t="str">
        <f>IFERROR(INDEX([1]!Tbl_Investors[كود المساهم], MATCH([1]!Tbl_Contributions[[#This Row],[اسم المساهم]], [1]!Tbl_Investors[اسم المساهم], 0)), "")</f>
        <v/>
      </c>
      <c r="D42" s="5" t="s">
        <v>56</v>
      </c>
      <c r="E42" s="5">
        <v>100000</v>
      </c>
      <c r="F42" s="5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1.9999999960000001E-2</v>
      </c>
      <c r="G42" s="5">
        <v>0.2</v>
      </c>
      <c r="H42" s="13">
        <f>IFERROR(INDEX(Tbl_Projects[صافي الربح], MATCH(Tbl_Contributions[[#This Row],[اسم المشروع]], Tbl_Projects[اسم المشروع], 0)) * Tbl_Contributions[[#This Row],[نسبة مساهمته]], 0)</f>
        <v>-100000</v>
      </c>
      <c r="I42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42" s="13">
        <f>Tbl_Contributions[[#This Row],[حصة الربح قبل الإدارة]] - Tbl_Contributions[[#This Row],[نصيب الإدارة]]</f>
        <v>-100000</v>
      </c>
      <c r="K42">
        <f>Tbl_Contributions[[#This Row],[رأس مال المساهم]] + Tbl_Contributions[[#This Row],[صافي ربح المساهم]]</f>
        <v>0</v>
      </c>
      <c r="L4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2">
        <f>Tbl_Contributions[[#This Row],[إجمالي المستحق للمساهم]] - Tbl_Contributions[[#This Row],[المسحوبات (تتضمن رد رأس المال والأرباح)]]</f>
        <v>0</v>
      </c>
      <c r="O42" t="str">
        <f>IF(ISBLANK(Tbl_Contributions[[#This Row],[نسبة الإدارة الخاصة به]]), "تنبيه: نسبة الإدارة غير مسجلة", "مكتمل")</f>
        <v>مكتمل</v>
      </c>
    </row>
    <row r="43" spans="1:15" x14ac:dyDescent="0.25">
      <c r="A43" s="11" t="str">
        <f>IFERROR(INDEX([1]!Tbl_Projects[كود المشروع], MATCH([1]!Tbl_Contributions[[#This Row],[اسم المشروع]], [1]!Tbl_Projects[اسم المشروع], 0)), "")</f>
        <v/>
      </c>
      <c r="B43" s="11" t="s">
        <v>191</v>
      </c>
      <c r="C43" s="11" t="s">
        <v>253</v>
      </c>
      <c r="D43" s="11" t="s">
        <v>38</v>
      </c>
      <c r="E43" s="11">
        <v>200000</v>
      </c>
      <c r="F43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6.4516129032258063E-2</v>
      </c>
      <c r="G43" s="5">
        <v>0.2</v>
      </c>
      <c r="H43" s="13">
        <f>IFERROR(INDEX(Tbl_Projects[صافي الربح], MATCH(Tbl_Contributions[[#This Row],[اسم المشروع]], Tbl_Projects[اسم المشروع], 0)) * Tbl_Contributions[[#This Row],[نسبة مساهمته]], 0)</f>
        <v>46451.612903225803</v>
      </c>
      <c r="I43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9290.322580645161</v>
      </c>
      <c r="J43" s="13">
        <f>Tbl_Contributions[[#This Row],[حصة الربح قبل الإدارة]] - Tbl_Contributions[[#This Row],[نصيب الإدارة]]</f>
        <v>37161.290322580644</v>
      </c>
      <c r="K43">
        <f>Tbl_Contributions[[#This Row],[رأس مال المساهم]] + Tbl_Contributions[[#This Row],[صافي ربح المساهم]]</f>
        <v>237161.29032258064</v>
      </c>
      <c r="L4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3">
        <f>Tbl_Contributions[[#This Row],[إجمالي المستحق للمساهم]] - Tbl_Contributions[[#This Row],[المسحوبات (تتضمن رد رأس المال والأرباح)]]</f>
        <v>237161.29032258064</v>
      </c>
      <c r="O43" t="str">
        <f>IF(ISBLANK(Tbl_Contributions[[#This Row],[نسبة الإدارة الخاصة به]]), "تنبيه: نسبة الإدارة غير مسجلة", "مكتمل")</f>
        <v>مكتمل</v>
      </c>
    </row>
    <row r="44" spans="1:15" x14ac:dyDescent="0.25">
      <c r="A44" s="11" t="str">
        <f>IFERROR(INDEX([1]!Tbl_Projects[كود المشروع], MATCH([1]!Tbl_Contributions[[#This Row],[اسم المشروع]], [1]!Tbl_Projects[اسم المشروع], 0)), "")</f>
        <v/>
      </c>
      <c r="B44" s="11" t="s">
        <v>191</v>
      </c>
      <c r="C44" s="11" t="s">
        <v>253</v>
      </c>
      <c r="D44" s="11" t="s">
        <v>40</v>
      </c>
      <c r="E44" s="11">
        <v>583333</v>
      </c>
      <c r="F44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0.18817193548387096</v>
      </c>
      <c r="G44" s="5">
        <v>0.2</v>
      </c>
      <c r="H44" s="13">
        <f>IFERROR(INDEX(Tbl_Projects[صافي الربح], MATCH(Tbl_Contributions[[#This Row],[اسم المشروع]], Tbl_Projects[اسم المشروع], 0)) * Tbl_Contributions[[#This Row],[نسبة مساهمته]], 0)</f>
        <v>135483.7935483871</v>
      </c>
      <c r="I44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27096.758709677422</v>
      </c>
      <c r="J44" s="13">
        <f>Tbl_Contributions[[#This Row],[حصة الربح قبل الإدارة]] - Tbl_Contributions[[#This Row],[نصيب الإدارة]]</f>
        <v>108387.03483870967</v>
      </c>
      <c r="K44">
        <f>Tbl_Contributions[[#This Row],[رأس مال المساهم]] + Tbl_Contributions[[#This Row],[صافي ربح المساهم]]</f>
        <v>691720.03483870963</v>
      </c>
      <c r="L4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4">
        <f>Tbl_Contributions[[#This Row],[إجمالي المستحق للمساهم]] - Tbl_Contributions[[#This Row],[المسحوبات (تتضمن رد رأس المال والأرباح)]]</f>
        <v>691720.03483870963</v>
      </c>
      <c r="O44" t="str">
        <f>IF(ISBLANK(Tbl_Contributions[[#This Row],[نسبة الإدارة الخاصة به]]), "تنبيه: نسبة الإدارة غير مسجلة", "مكتمل")</f>
        <v>مكتمل</v>
      </c>
    </row>
    <row r="45" spans="1:15" x14ac:dyDescent="0.25">
      <c r="A45" s="11" t="str">
        <f>IFERROR(INDEX([1]!Tbl_Projects[كود المشروع], MATCH([1]!Tbl_Contributions[[#This Row],[اسم المشروع]], [1]!Tbl_Projects[اسم المشروع], 0)), "")</f>
        <v/>
      </c>
      <c r="B45" s="11" t="s">
        <v>191</v>
      </c>
      <c r="C45" s="11" t="s">
        <v>253</v>
      </c>
      <c r="D45" s="11" t="s">
        <v>42</v>
      </c>
      <c r="E45" s="11">
        <v>61667</v>
      </c>
      <c r="F45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1.9892580645161289E-2</v>
      </c>
      <c r="G45" s="5">
        <v>0.2</v>
      </c>
      <c r="H45" s="13">
        <f>IFERROR(INDEX(Tbl_Projects[صافي الربح], MATCH(Tbl_Contributions[[#This Row],[اسم المشروع]], Tbl_Projects[اسم المشروع], 0)) * Tbl_Contributions[[#This Row],[نسبة مساهمته]], 0)</f>
        <v>14322.658064516128</v>
      </c>
      <c r="I45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2864.5316129032258</v>
      </c>
      <c r="J45" s="13">
        <f>Tbl_Contributions[[#This Row],[حصة الربح قبل الإدارة]] - Tbl_Contributions[[#This Row],[نصيب الإدارة]]</f>
        <v>11458.126451612903</v>
      </c>
      <c r="K45">
        <f>Tbl_Contributions[[#This Row],[رأس مال المساهم]] + Tbl_Contributions[[#This Row],[صافي ربح المساهم]]</f>
        <v>73125.126451612901</v>
      </c>
      <c r="L4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5">
        <f>Tbl_Contributions[[#This Row],[إجمالي المستحق للمساهم]] - Tbl_Contributions[[#This Row],[المسحوبات (تتضمن رد رأس المال والأرباح)]]</f>
        <v>73125.126451612901</v>
      </c>
      <c r="O45" t="str">
        <f>IF(ISBLANK(Tbl_Contributions[[#This Row],[نسبة الإدارة الخاصة به]]), "تنبيه: نسبة الإدارة غير مسجلة", "مكتمل")</f>
        <v>مكتمل</v>
      </c>
    </row>
    <row r="46" spans="1:15" x14ac:dyDescent="0.25">
      <c r="A46" s="11" t="str">
        <f>IFERROR(INDEX([1]!Tbl_Projects[كود المشروع], MATCH([1]!Tbl_Contributions[[#This Row],[اسم المشروع]], [1]!Tbl_Projects[اسم المشروع], 0)), "")</f>
        <v/>
      </c>
      <c r="B46" s="11" t="s">
        <v>191</v>
      </c>
      <c r="C46" s="11" t="s">
        <v>253</v>
      </c>
      <c r="D46" s="11" t="s">
        <v>44</v>
      </c>
      <c r="E46" s="11">
        <v>20833</v>
      </c>
      <c r="F46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6.7203225806451612E-3</v>
      </c>
      <c r="G46" s="5">
        <v>0.2</v>
      </c>
      <c r="H46" s="13">
        <f>IFERROR(INDEX(Tbl_Projects[صافي الربح], MATCH(Tbl_Contributions[[#This Row],[اسم المشروع]], Tbl_Projects[اسم المشروع], 0)) * Tbl_Contributions[[#This Row],[نسبة مساهمته]], 0)</f>
        <v>4838.6322580645165</v>
      </c>
      <c r="I46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967.72645161290336</v>
      </c>
      <c r="J46" s="13">
        <f>Tbl_Contributions[[#This Row],[حصة الربح قبل الإدارة]] - Tbl_Contributions[[#This Row],[نصيب الإدارة]]</f>
        <v>3870.905806451613</v>
      </c>
      <c r="K46">
        <f>Tbl_Contributions[[#This Row],[رأس مال المساهم]] + Tbl_Contributions[[#This Row],[صافي ربح المساهم]]</f>
        <v>24703.905806451614</v>
      </c>
      <c r="L4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6">
        <f>Tbl_Contributions[[#This Row],[إجمالي المستحق للمساهم]] - Tbl_Contributions[[#This Row],[المسحوبات (تتضمن رد رأس المال والأرباح)]]</f>
        <v>24703.905806451614</v>
      </c>
      <c r="O46" t="str">
        <f>IF(ISBLANK(Tbl_Contributions[[#This Row],[نسبة الإدارة الخاصة به]]), "تنبيه: نسبة الإدارة غير مسجلة", "مكتمل")</f>
        <v>مكتمل</v>
      </c>
    </row>
    <row r="47" spans="1:15" x14ac:dyDescent="0.25">
      <c r="A47" s="11" t="str">
        <f>IFERROR(INDEX([1]!Tbl_Projects[كود المشروع], MATCH([1]!Tbl_Contributions[[#This Row],[اسم المشروع]], [1]!Tbl_Projects[اسم المشروع], 0)), "")</f>
        <v/>
      </c>
      <c r="B47" s="11" t="s">
        <v>191</v>
      </c>
      <c r="C47" s="11" t="s">
        <v>253</v>
      </c>
      <c r="D47" s="11" t="s">
        <v>46</v>
      </c>
      <c r="E47" s="11">
        <v>140000</v>
      </c>
      <c r="F47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4.5161290322580643E-2</v>
      </c>
      <c r="G47" s="5">
        <v>0.2</v>
      </c>
      <c r="H47" s="13">
        <f>IFERROR(INDEX(Tbl_Projects[صافي الربح], MATCH(Tbl_Contributions[[#This Row],[اسم المشروع]], Tbl_Projects[اسم المشروع], 0)) * Tbl_Contributions[[#This Row],[نسبة مساهمته]], 0)</f>
        <v>32516.129032258064</v>
      </c>
      <c r="I47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6503.2258064516136</v>
      </c>
      <c r="J47" s="13">
        <f>Tbl_Contributions[[#This Row],[حصة الربح قبل الإدارة]] - Tbl_Contributions[[#This Row],[نصيب الإدارة]]</f>
        <v>26012.903225806451</v>
      </c>
      <c r="K47">
        <f>Tbl_Contributions[[#This Row],[رأس مال المساهم]] + Tbl_Contributions[[#This Row],[صافي ربح المساهم]]</f>
        <v>166012.90322580645</v>
      </c>
      <c r="L4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7">
        <f>Tbl_Contributions[[#This Row],[إجمالي المستحق للمساهم]] - Tbl_Contributions[[#This Row],[المسحوبات (تتضمن رد رأس المال والأرباح)]]</f>
        <v>166012.90322580645</v>
      </c>
      <c r="O47" t="str">
        <f>IF(ISBLANK(Tbl_Contributions[[#This Row],[نسبة الإدارة الخاصة به]]), "تنبيه: نسبة الإدارة غير مسجلة", "مكتمل")</f>
        <v>مكتمل</v>
      </c>
    </row>
    <row r="48" spans="1:15" x14ac:dyDescent="0.25">
      <c r="A48" s="11" t="str">
        <f>IFERROR(INDEX([1]!Tbl_Projects[كود المشروع], MATCH([1]!Tbl_Contributions[[#This Row],[اسم المشروع]], [1]!Tbl_Projects[اسم المشروع], 0)), "")</f>
        <v/>
      </c>
      <c r="B48" s="11" t="s">
        <v>191</v>
      </c>
      <c r="C48" s="11" t="s">
        <v>253</v>
      </c>
      <c r="D48" s="11" t="s">
        <v>58</v>
      </c>
      <c r="E48" s="11">
        <v>586667</v>
      </c>
      <c r="F48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0.18924741935483871</v>
      </c>
      <c r="G48" s="5">
        <v>0.2</v>
      </c>
      <c r="H48" s="13">
        <f>IFERROR(INDEX(Tbl_Projects[صافي الربح], MATCH(Tbl_Contributions[[#This Row],[اسم المشروع]], Tbl_Projects[اسم المشروع], 0)) * Tbl_Contributions[[#This Row],[نسبة مساهمته]], 0)</f>
        <v>136258.14193548387</v>
      </c>
      <c r="I48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27251.628387096775</v>
      </c>
      <c r="J48" s="13">
        <f>Tbl_Contributions[[#This Row],[حصة الربح قبل الإدارة]] - Tbl_Contributions[[#This Row],[نصيب الإدارة]]</f>
        <v>109006.5135483871</v>
      </c>
      <c r="K48">
        <f>Tbl_Contributions[[#This Row],[رأس مال المساهم]] + Tbl_Contributions[[#This Row],[صافي ربح المساهم]]</f>
        <v>695673.5135483871</v>
      </c>
      <c r="L4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8">
        <f>Tbl_Contributions[[#This Row],[إجمالي المستحق للمساهم]] - Tbl_Contributions[[#This Row],[المسحوبات (تتضمن رد رأس المال والأرباح)]]</f>
        <v>695673.5135483871</v>
      </c>
      <c r="O48" t="str">
        <f>IF(ISBLANK(Tbl_Contributions[[#This Row],[نسبة الإدارة الخاصة به]]), "تنبيه: نسبة الإدارة غير مسجلة", "مكتمل")</f>
        <v>مكتمل</v>
      </c>
    </row>
    <row r="49" spans="1:15" x14ac:dyDescent="0.25">
      <c r="A49" s="11" t="str">
        <f>IFERROR(INDEX([1]!Tbl_Projects[كود المشروع], MATCH([1]!Tbl_Contributions[[#This Row],[اسم المشروع]], [1]!Tbl_Projects[اسم المشروع], 0)), "")</f>
        <v/>
      </c>
      <c r="B49" s="11" t="s">
        <v>191</v>
      </c>
      <c r="C49" s="11" t="s">
        <v>253</v>
      </c>
      <c r="D49" s="11" t="s">
        <v>50</v>
      </c>
      <c r="E49" s="11">
        <v>40833</v>
      </c>
      <c r="F49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1.3171935483870969E-2</v>
      </c>
      <c r="G49" s="5">
        <v>0.2</v>
      </c>
      <c r="H49" s="13">
        <f>IFERROR(INDEX(Tbl_Projects[صافي الربح], MATCH(Tbl_Contributions[[#This Row],[اسم المشروع]], Tbl_Projects[اسم المشروع], 0)) * Tbl_Contributions[[#This Row],[نسبة مساهمته]], 0)</f>
        <v>9483.793548387097</v>
      </c>
      <c r="I49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1896.7587096774196</v>
      </c>
      <c r="J49" s="13">
        <f>Tbl_Contributions[[#This Row],[حصة الربح قبل الإدارة]] - Tbl_Contributions[[#This Row],[نصيب الإدارة]]</f>
        <v>7587.0348387096774</v>
      </c>
      <c r="K49">
        <f>Tbl_Contributions[[#This Row],[رأس مال المساهم]] + Tbl_Contributions[[#This Row],[صافي ربح المساهم]]</f>
        <v>48420.034838709675</v>
      </c>
      <c r="L4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4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49">
        <f>Tbl_Contributions[[#This Row],[إجمالي المستحق للمساهم]] - Tbl_Contributions[[#This Row],[المسحوبات (تتضمن رد رأس المال والأرباح)]]</f>
        <v>48420.034838709675</v>
      </c>
      <c r="O49" t="str">
        <f>IF(ISBLANK(Tbl_Contributions[[#This Row],[نسبة الإدارة الخاصة به]]), "تنبيه: نسبة الإدارة غير مسجلة", "مكتمل")</f>
        <v>مكتمل</v>
      </c>
    </row>
    <row r="50" spans="1:15" x14ac:dyDescent="0.25">
      <c r="A50" s="11" t="str">
        <f>IFERROR(INDEX([1]!Tbl_Projects[كود المشروع], MATCH([1]!Tbl_Contributions[[#This Row],[اسم المشروع]], [1]!Tbl_Projects[اسم المشروع], 0)), "")</f>
        <v/>
      </c>
      <c r="B50" s="11" t="s">
        <v>191</v>
      </c>
      <c r="C50" s="11" t="s">
        <v>253</v>
      </c>
      <c r="D50" s="11" t="s">
        <v>52</v>
      </c>
      <c r="E50" s="11">
        <v>166667</v>
      </c>
      <c r="F50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5.3763548387096773E-2</v>
      </c>
      <c r="G50" s="5">
        <v>0.2</v>
      </c>
      <c r="H50" s="13">
        <f>IFERROR(INDEX(Tbl_Projects[صافي الربح], MATCH(Tbl_Contributions[[#This Row],[اسم المشروع]], Tbl_Projects[اسم المشروع], 0)) * Tbl_Contributions[[#This Row],[نسبة مساهمته]], 0)</f>
        <v>38709.754838709676</v>
      </c>
      <c r="I50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7741.9509677419355</v>
      </c>
      <c r="J50" s="13">
        <f>Tbl_Contributions[[#This Row],[حصة الربح قبل الإدارة]] - Tbl_Contributions[[#This Row],[نصيب الإدارة]]</f>
        <v>30967.803870967742</v>
      </c>
      <c r="K50">
        <f>Tbl_Contributions[[#This Row],[رأس مال المساهم]] + Tbl_Contributions[[#This Row],[صافي ربح المساهم]]</f>
        <v>197634.80387096773</v>
      </c>
      <c r="L5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0">
        <f>Tbl_Contributions[[#This Row],[إجمالي المستحق للمساهم]] - Tbl_Contributions[[#This Row],[المسحوبات (تتضمن رد رأس المال والأرباح)]]</f>
        <v>197634.80387096773</v>
      </c>
      <c r="O50" t="str">
        <f>IF(ISBLANK(Tbl_Contributions[[#This Row],[نسبة الإدارة الخاصة به]]), "تنبيه: نسبة الإدارة غير مسجلة", "مكتمل")</f>
        <v>مكتمل</v>
      </c>
    </row>
    <row r="51" spans="1:15" x14ac:dyDescent="0.25">
      <c r="A51" s="11" t="str">
        <f>IFERROR(INDEX([1]!Tbl_Projects[كود المشروع], MATCH([1]!Tbl_Contributions[[#This Row],[اسم المشروع]], [1]!Tbl_Projects[اسم المشروع], 0)), "")</f>
        <v/>
      </c>
      <c r="B51" s="11" t="s">
        <v>191</v>
      </c>
      <c r="C51" s="11" t="s">
        <v>253</v>
      </c>
      <c r="D51" s="11" t="s">
        <v>54</v>
      </c>
      <c r="E51" s="11">
        <v>75000</v>
      </c>
      <c r="F51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2.4193548387096774E-2</v>
      </c>
      <c r="G51" s="5">
        <v>0.2</v>
      </c>
      <c r="H51" s="13">
        <f>IFERROR(INDEX(Tbl_Projects[صافي الربح], MATCH(Tbl_Contributions[[#This Row],[اسم المشروع]], Tbl_Projects[اسم المشروع], 0)) * Tbl_Contributions[[#This Row],[نسبة مساهمته]], 0)</f>
        <v>17419.354838709678</v>
      </c>
      <c r="I51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3483.8709677419356</v>
      </c>
      <c r="J51" s="13">
        <f>Tbl_Contributions[[#This Row],[حصة الربح قبل الإدارة]] - Tbl_Contributions[[#This Row],[نصيب الإدارة]]</f>
        <v>13935.483870967742</v>
      </c>
      <c r="K51">
        <f>Tbl_Contributions[[#This Row],[رأس مال المساهم]] + Tbl_Contributions[[#This Row],[صافي ربح المساهم]]</f>
        <v>88935.483870967742</v>
      </c>
      <c r="L5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1">
        <f>Tbl_Contributions[[#This Row],[إجمالي المستحق للمساهم]] - Tbl_Contributions[[#This Row],[المسحوبات (تتضمن رد رأس المال والأرباح)]]</f>
        <v>88935.483870967742</v>
      </c>
      <c r="O51" t="str">
        <f>IF(ISBLANK(Tbl_Contributions[[#This Row],[نسبة الإدارة الخاصة به]]), "تنبيه: نسبة الإدارة غير مسجلة", "مكتمل")</f>
        <v>مكتمل</v>
      </c>
    </row>
    <row r="52" spans="1:15" x14ac:dyDescent="0.25">
      <c r="A52" s="11" t="str">
        <f>IFERROR(INDEX([1]!Tbl_Projects[كود المشروع], MATCH([1]!Tbl_Contributions[[#This Row],[اسم المشروع]], [1]!Tbl_Projects[اسم المشروع], 0)), "")</f>
        <v/>
      </c>
      <c r="B52" s="11" t="s">
        <v>191</v>
      </c>
      <c r="C52" s="11" t="s">
        <v>253</v>
      </c>
      <c r="D52" s="11" t="s">
        <v>56</v>
      </c>
      <c r="E52" s="11">
        <v>125000</v>
      </c>
      <c r="F52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4.0322580645161289E-2</v>
      </c>
      <c r="G52" s="5">
        <v>0.2</v>
      </c>
      <c r="H52" s="13">
        <f>IFERROR(INDEX(Tbl_Projects[صافي الربح], MATCH(Tbl_Contributions[[#This Row],[اسم المشروع]], Tbl_Projects[اسم المشروع], 0)) * Tbl_Contributions[[#This Row],[نسبة مساهمته]], 0)</f>
        <v>29032.258064516129</v>
      </c>
      <c r="I52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5806.4516129032263</v>
      </c>
      <c r="J52" s="13">
        <f>Tbl_Contributions[[#This Row],[حصة الربح قبل الإدارة]] - Tbl_Contributions[[#This Row],[نصيب الإدارة]]</f>
        <v>23225.806451612902</v>
      </c>
      <c r="K52">
        <f>Tbl_Contributions[[#This Row],[رأس مال المساهم]] + Tbl_Contributions[[#This Row],[صافي ربح المساهم]]</f>
        <v>148225.80645161291</v>
      </c>
      <c r="L5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2">
        <f>Tbl_Contributions[[#This Row],[إجمالي المستحق للمساهم]] - Tbl_Contributions[[#This Row],[المسحوبات (تتضمن رد رأس المال والأرباح)]]</f>
        <v>148225.80645161291</v>
      </c>
      <c r="O52" t="str">
        <f>IF(ISBLANK(Tbl_Contributions[[#This Row],[نسبة الإدارة الخاصة به]]), "تنبيه: نسبة الإدارة غير مسجلة", "مكتمل")</f>
        <v>مكتمل</v>
      </c>
    </row>
    <row r="53" spans="1:15" x14ac:dyDescent="0.25">
      <c r="A53" s="11" t="str">
        <f>IFERROR(INDEX([1]!Tbl_Projects[كود المشروع], MATCH([1]!Tbl_Contributions[[#This Row],[اسم المشروع]], [1]!Tbl_Projects[اسم المشروع], 0)), "")</f>
        <v/>
      </c>
      <c r="B53" s="11" t="s">
        <v>191</v>
      </c>
      <c r="C53" s="11" t="s">
        <v>253</v>
      </c>
      <c r="D53" s="11" t="s">
        <v>84</v>
      </c>
      <c r="E53" s="11">
        <v>500000</v>
      </c>
      <c r="F53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0.16129032258064516</v>
      </c>
      <c r="G53" s="5">
        <v>0.2</v>
      </c>
      <c r="H53" s="13">
        <f>IFERROR(INDEX(Tbl_Projects[صافي الربح], MATCH(Tbl_Contributions[[#This Row],[اسم المشروع]], Tbl_Projects[اسم المشروع], 0)) * Tbl_Contributions[[#This Row],[نسبة مساهمته]], 0)</f>
        <v>116129.03225806452</v>
      </c>
      <c r="I53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23225.806451612905</v>
      </c>
      <c r="J53" s="13">
        <f>Tbl_Contributions[[#This Row],[حصة الربح قبل الإدارة]] - Tbl_Contributions[[#This Row],[نصيب الإدارة]]</f>
        <v>92903.225806451606</v>
      </c>
      <c r="K53">
        <f>Tbl_Contributions[[#This Row],[رأس مال المساهم]] + Tbl_Contributions[[#This Row],[صافي ربح المساهم]]</f>
        <v>592903.22580645164</v>
      </c>
      <c r="L5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3">
        <f>Tbl_Contributions[[#This Row],[إجمالي المستحق للمساهم]] - Tbl_Contributions[[#This Row],[المسحوبات (تتضمن رد رأس المال والأرباح)]]</f>
        <v>592903.22580645164</v>
      </c>
      <c r="O53" t="str">
        <f>IF(ISBLANK(Tbl_Contributions[[#This Row],[نسبة الإدارة الخاصة به]]), "تنبيه: نسبة الإدارة غير مسجلة", "مكتمل")</f>
        <v>مكتمل</v>
      </c>
    </row>
    <row r="54" spans="1:15" x14ac:dyDescent="0.25">
      <c r="A54" s="11" t="str">
        <f>IFERROR(INDEX([1]!Tbl_Projects[كود المشروع], MATCH([1]!Tbl_Contributions[[#This Row],[اسم المشروع]], [1]!Tbl_Projects[اسم المشروع], 0)), "")</f>
        <v/>
      </c>
      <c r="B54" s="11" t="s">
        <v>191</v>
      </c>
      <c r="C54" s="11" t="s">
        <v>253</v>
      </c>
      <c r="D54" s="11" t="s">
        <v>86</v>
      </c>
      <c r="E54" s="11">
        <v>600000</v>
      </c>
      <c r="F54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0.19354838709677419</v>
      </c>
      <c r="G54" s="5">
        <v>0.2</v>
      </c>
      <c r="H54" s="13">
        <f>IFERROR(INDEX(Tbl_Projects[صافي الربح], MATCH(Tbl_Contributions[[#This Row],[اسم المشروع]], Tbl_Projects[اسم المشروع], 0)) * Tbl_Contributions[[#This Row],[نسبة مساهمته]], 0)</f>
        <v>139354.83870967742</v>
      </c>
      <c r="I54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27870.967741935485</v>
      </c>
      <c r="J54" s="13">
        <f>Tbl_Contributions[[#This Row],[حصة الربح قبل الإدارة]] - Tbl_Contributions[[#This Row],[نصيب الإدارة]]</f>
        <v>111483.87096774194</v>
      </c>
      <c r="K54">
        <f>Tbl_Contributions[[#This Row],[رأس مال المساهم]] + Tbl_Contributions[[#This Row],[صافي ربح المساهم]]</f>
        <v>711483.87096774194</v>
      </c>
      <c r="L5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4">
        <f>Tbl_Contributions[[#This Row],[إجمالي المستحق للمساهم]] - Tbl_Contributions[[#This Row],[المسحوبات (تتضمن رد رأس المال والأرباح)]]</f>
        <v>711483.87096774194</v>
      </c>
      <c r="O54" t="str">
        <f>IF(ISBLANK(Tbl_Contributions[[#This Row],[نسبة الإدارة الخاصة به]]), "تنبيه: نسبة الإدارة غير مسجلة", "مكتمل")</f>
        <v>مكتمل</v>
      </c>
    </row>
    <row r="55" spans="1:15" x14ac:dyDescent="0.25">
      <c r="A55" s="11" t="str">
        <f>IFERROR(INDEX([1]!Tbl_Projects[كود المشروع], MATCH([1]!Tbl_Contributions[[#This Row],[اسم المشروع]], [1]!Tbl_Projects[اسم المشروع], 0)), "")</f>
        <v/>
      </c>
      <c r="B55" s="11" t="s">
        <v>252</v>
      </c>
      <c r="C55" s="11" t="s">
        <v>253</v>
      </c>
      <c r="D55" s="11" t="s">
        <v>251</v>
      </c>
      <c r="E55" s="11">
        <v>1000000</v>
      </c>
      <c r="F55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0.18181818181818182</v>
      </c>
      <c r="G55" s="5">
        <v>0.2</v>
      </c>
      <c r="H55" s="13">
        <f>IFERROR(INDEX(Tbl_Projects[صافي الربح], MATCH(Tbl_Contributions[[#This Row],[اسم المشروع]], Tbl_Projects[اسم المشروع], 0)) * Tbl_Contributions[[#This Row],[نسبة مساهمته]], 0)</f>
        <v>-1000000</v>
      </c>
      <c r="I55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55" s="13">
        <f>Tbl_Contributions[[#This Row],[حصة الربح قبل الإدارة]] - Tbl_Contributions[[#This Row],[نصيب الإدارة]]</f>
        <v>-1000000</v>
      </c>
      <c r="K55">
        <f>Tbl_Contributions[[#This Row],[رأس مال المساهم]] + Tbl_Contributions[[#This Row],[صافي ربح المساهم]]</f>
        <v>0</v>
      </c>
      <c r="L5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5">
        <f>Tbl_Contributions[[#This Row],[إجمالي المستحق للمساهم]] - Tbl_Contributions[[#This Row],[المسحوبات (تتضمن رد رأس المال والأرباح)]]</f>
        <v>0</v>
      </c>
      <c r="O55" t="str">
        <f>IF(ISBLANK(Tbl_Contributions[[#This Row],[نسبة الإدارة الخاصة به]]), "تنبيه: نسبة الإدارة غير مسجلة", "مكتمل")</f>
        <v>مكتمل</v>
      </c>
    </row>
    <row r="56" spans="1:15" x14ac:dyDescent="0.25">
      <c r="A56" s="11" t="str">
        <f>IFERROR(INDEX([1]!Tbl_Projects[كود المشروع], MATCH([1]!Tbl_Contributions[[#This Row],[اسم المشروع]], [1]!Tbl_Projects[اسم المشروع], 0)), "")</f>
        <v/>
      </c>
      <c r="B56" s="11" t="s">
        <v>252</v>
      </c>
      <c r="C56" s="11" t="s">
        <v>253</v>
      </c>
      <c r="D56" s="11" t="s">
        <v>60</v>
      </c>
      <c r="E56" s="11">
        <v>1659999.9999999995</v>
      </c>
      <c r="F56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0.30181818181818171</v>
      </c>
      <c r="G56" s="5">
        <v>0.2</v>
      </c>
      <c r="H56" s="13">
        <f>IFERROR(INDEX(Tbl_Projects[صافي الربح], MATCH(Tbl_Contributions[[#This Row],[اسم المشروع]], Tbl_Projects[اسم المشروع], 0)) * Tbl_Contributions[[#This Row],[نسبة مساهمته]], 0)</f>
        <v>-1659999.9999999993</v>
      </c>
      <c r="I56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56" s="13">
        <f>Tbl_Contributions[[#This Row],[حصة الربح قبل الإدارة]] - Tbl_Contributions[[#This Row],[نصيب الإدارة]]</f>
        <v>-1659999.9999999993</v>
      </c>
      <c r="K56">
        <f>Tbl_Contributions[[#This Row],[رأس مال المساهم]] + Tbl_Contributions[[#This Row],[صافي ربح المساهم]]</f>
        <v>0</v>
      </c>
      <c r="L5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6">
        <f>Tbl_Contributions[[#This Row],[إجمالي المستحق للمساهم]] - Tbl_Contributions[[#This Row],[المسحوبات (تتضمن رد رأس المال والأرباح)]]</f>
        <v>0</v>
      </c>
      <c r="O56" t="str">
        <f>IF(ISBLANK(Tbl_Contributions[[#This Row],[نسبة الإدارة الخاصة به]]), "تنبيه: نسبة الإدارة غير مسجلة", "مكتمل")</f>
        <v>مكتمل</v>
      </c>
    </row>
    <row r="57" spans="1:15" x14ac:dyDescent="0.25">
      <c r="A57" s="11" t="str">
        <f>IFERROR(INDEX([1]!Tbl_Projects[كود المشروع], MATCH([1]!Tbl_Contributions[[#This Row],[اسم المشروع]], [1]!Tbl_Projects[اسم المشروع], 0)), "")</f>
        <v/>
      </c>
      <c r="B57" s="11" t="s">
        <v>252</v>
      </c>
      <c r="C57" s="11" t="s">
        <v>253</v>
      </c>
      <c r="D57" s="11" t="s">
        <v>40</v>
      </c>
      <c r="E57" s="11">
        <v>2021838</v>
      </c>
      <c r="F57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0.3676069090909091</v>
      </c>
      <c r="G57" s="5">
        <v>0.2</v>
      </c>
      <c r="H57" s="13">
        <f>IFERROR(INDEX(Tbl_Projects[صافي الربح], MATCH(Tbl_Contributions[[#This Row],[اسم المشروع]], Tbl_Projects[اسم المشروع], 0)) * Tbl_Contributions[[#This Row],[نسبة مساهمته]], 0)</f>
        <v>-2021838</v>
      </c>
      <c r="I57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57" s="13">
        <f>Tbl_Contributions[[#This Row],[حصة الربح قبل الإدارة]] - Tbl_Contributions[[#This Row],[نصيب الإدارة]]</f>
        <v>-2021838</v>
      </c>
      <c r="K57">
        <f>Tbl_Contributions[[#This Row],[رأس مال المساهم]] + Tbl_Contributions[[#This Row],[صافي ربح المساهم]]</f>
        <v>0</v>
      </c>
      <c r="L5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7">
        <f>Tbl_Contributions[[#This Row],[إجمالي المستحق للمساهم]] - Tbl_Contributions[[#This Row],[المسحوبات (تتضمن رد رأس المال والأرباح)]]</f>
        <v>0</v>
      </c>
      <c r="O57" t="str">
        <f>IF(ISBLANK(Tbl_Contributions[[#This Row],[نسبة الإدارة الخاصة به]]), "تنبيه: نسبة الإدارة غير مسجلة", "مكتمل")</f>
        <v>مكتمل</v>
      </c>
    </row>
    <row r="58" spans="1:15" x14ac:dyDescent="0.25">
      <c r="A58" s="11" t="str">
        <f>IFERROR(INDEX([1]!Tbl_Projects[كود المشروع], MATCH([1]!Tbl_Contributions[[#This Row],[اسم المشروع]], [1]!Tbl_Projects[اسم المشروع], 0)), "")</f>
        <v/>
      </c>
      <c r="B58" s="11" t="s">
        <v>252</v>
      </c>
      <c r="C58" s="11" t="s">
        <v>253</v>
      </c>
      <c r="D58" s="11" t="s">
        <v>64</v>
      </c>
      <c r="E58" s="11">
        <v>82999.999999999985</v>
      </c>
      <c r="F58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1.5090909090909089E-2</v>
      </c>
      <c r="G58" s="5">
        <v>0.2</v>
      </c>
      <c r="H58" s="13">
        <f>IFERROR(INDEX(Tbl_Projects[صافي الربح], MATCH(Tbl_Contributions[[#This Row],[اسم المشروع]], Tbl_Projects[اسم المشروع], 0)) * Tbl_Contributions[[#This Row],[نسبة مساهمته]], 0)</f>
        <v>-82999.999999999985</v>
      </c>
      <c r="I58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58" s="13">
        <f>Tbl_Contributions[[#This Row],[حصة الربح قبل الإدارة]] - Tbl_Contributions[[#This Row],[نصيب الإدارة]]</f>
        <v>-82999.999999999985</v>
      </c>
      <c r="K58">
        <f>Tbl_Contributions[[#This Row],[رأس مال المساهم]] + Tbl_Contributions[[#This Row],[صافي ربح المساهم]]</f>
        <v>0</v>
      </c>
      <c r="L5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8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8">
        <f>Tbl_Contributions[[#This Row],[إجمالي المستحق للمساهم]] - Tbl_Contributions[[#This Row],[المسحوبات (تتضمن رد رأس المال والأرباح)]]</f>
        <v>0</v>
      </c>
      <c r="O58" t="str">
        <f>IF(ISBLANK(Tbl_Contributions[[#This Row],[نسبة الإدارة الخاصة به]]), "تنبيه: نسبة الإدارة غير مسجلة", "مكتمل")</f>
        <v>مكتمل</v>
      </c>
    </row>
    <row r="59" spans="1:15" x14ac:dyDescent="0.25">
      <c r="A59" s="11" t="str">
        <f>IFERROR(INDEX([1]!Tbl_Projects[كود المشروع], MATCH([1]!Tbl_Contributions[[#This Row],[اسم المشروع]], [1]!Tbl_Projects[اسم المشروع], 0)), "")</f>
        <v/>
      </c>
      <c r="B59" s="11" t="s">
        <v>252</v>
      </c>
      <c r="C59" s="11" t="s">
        <v>253</v>
      </c>
      <c r="D59" s="11" t="s">
        <v>58</v>
      </c>
      <c r="E59" s="11">
        <v>95508.943333334289</v>
      </c>
      <c r="F59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1.7365262424242599E-2</v>
      </c>
      <c r="G59" s="5">
        <v>0.2</v>
      </c>
      <c r="H59" s="13">
        <f>IFERROR(INDEX(Tbl_Projects[صافي الربح], MATCH(Tbl_Contributions[[#This Row],[اسم المشروع]], Tbl_Projects[اسم المشروع], 0)) * Tbl_Contributions[[#This Row],[نسبة مساهمته]], 0)</f>
        <v>-95508.943333334289</v>
      </c>
      <c r="I59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59" s="13">
        <f>Tbl_Contributions[[#This Row],[حصة الربح قبل الإدارة]] - Tbl_Contributions[[#This Row],[نصيب الإدارة]]</f>
        <v>-95508.943333334289</v>
      </c>
      <c r="K59">
        <f>Tbl_Contributions[[#This Row],[رأس مال المساهم]] + Tbl_Contributions[[#This Row],[صافي ربح المساهم]]</f>
        <v>0</v>
      </c>
      <c r="L5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59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59">
        <f>Tbl_Contributions[[#This Row],[إجمالي المستحق للمساهم]] - Tbl_Contributions[[#This Row],[المسحوبات (تتضمن رد رأس المال والأرباح)]]</f>
        <v>0</v>
      </c>
      <c r="O59" t="str">
        <f>IF(ISBLANK(Tbl_Contributions[[#This Row],[نسبة الإدارة الخاصة به]]), "تنبيه: نسبة الإدارة غير مسجلة", "مكتمل")</f>
        <v>مكتمل</v>
      </c>
    </row>
    <row r="60" spans="1:15" x14ac:dyDescent="0.25">
      <c r="A60" s="11" t="str">
        <f>IFERROR(INDEX([1]!Tbl_Projects[كود المشروع], MATCH([1]!Tbl_Contributions[[#This Row],[اسم المشروع]], [1]!Tbl_Projects[اسم المشروع], 0)), "")</f>
        <v/>
      </c>
      <c r="B60" s="11" t="s">
        <v>252</v>
      </c>
      <c r="C60" s="11" t="s">
        <v>253</v>
      </c>
      <c r="D60" s="11" t="s">
        <v>38</v>
      </c>
      <c r="E60" s="11">
        <v>221333.33333333331</v>
      </c>
      <c r="F60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4.0242424242424239E-2</v>
      </c>
      <c r="G60" s="5">
        <v>0.2</v>
      </c>
      <c r="H60" s="13">
        <f>IFERROR(INDEX(Tbl_Projects[صافي الربح], MATCH(Tbl_Contributions[[#This Row],[اسم المشروع]], Tbl_Projects[اسم المشروع], 0)) * Tbl_Contributions[[#This Row],[نسبة مساهمته]], 0)</f>
        <v>-221333.33333333331</v>
      </c>
      <c r="I60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0" s="13">
        <f>Tbl_Contributions[[#This Row],[حصة الربح قبل الإدارة]] - Tbl_Contributions[[#This Row],[نصيب الإدارة]]</f>
        <v>-221333.33333333331</v>
      </c>
      <c r="K60">
        <f>Tbl_Contributions[[#This Row],[رأس مال المساهم]] + Tbl_Contributions[[#This Row],[صافي ربح المساهم]]</f>
        <v>0</v>
      </c>
      <c r="L6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0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0">
        <f>Tbl_Contributions[[#This Row],[إجمالي المستحق للمساهم]] - Tbl_Contributions[[#This Row],[المسحوبات (تتضمن رد رأس المال والأرباح)]]</f>
        <v>0</v>
      </c>
      <c r="O60" t="str">
        <f>IF(ISBLANK(Tbl_Contributions[[#This Row],[نسبة الإدارة الخاصة به]]), "تنبيه: نسبة الإدارة غير مسجلة", "مكتمل")</f>
        <v>مكتمل</v>
      </c>
    </row>
    <row r="61" spans="1:15" x14ac:dyDescent="0.25">
      <c r="A61" s="11" t="str">
        <f>IFERROR(INDEX([1]!Tbl_Projects[كود المشروع], MATCH([1]!Tbl_Contributions[[#This Row],[اسم المشروع]], [1]!Tbl_Projects[اسم المشروع], 0)), "")</f>
        <v/>
      </c>
      <c r="B61" s="11" t="s">
        <v>252</v>
      </c>
      <c r="C61" s="11" t="s">
        <v>253</v>
      </c>
      <c r="D61" s="11" t="s">
        <v>42</v>
      </c>
      <c r="E61" s="11">
        <v>40946.666666666664</v>
      </c>
      <c r="F61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7.4448484848484847E-3</v>
      </c>
      <c r="G61" s="5">
        <v>0.2</v>
      </c>
      <c r="H61" s="13">
        <f>IFERROR(INDEX(Tbl_Projects[صافي الربح], MATCH(Tbl_Contributions[[#This Row],[اسم المشروع]], Tbl_Projects[اسم المشروع], 0)) * Tbl_Contributions[[#This Row],[نسبة مساهمته]], 0)</f>
        <v>-40946.666666666664</v>
      </c>
      <c r="I61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1" s="13">
        <f>Tbl_Contributions[[#This Row],[حصة الربح قبل الإدارة]] - Tbl_Contributions[[#This Row],[نصيب الإدارة]]</f>
        <v>-40946.666666666664</v>
      </c>
      <c r="K61">
        <f>Tbl_Contributions[[#This Row],[رأس مال المساهم]] + Tbl_Contributions[[#This Row],[صافي ربح المساهم]]</f>
        <v>0</v>
      </c>
      <c r="L6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1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1">
        <f>Tbl_Contributions[[#This Row],[إجمالي المستحق للمساهم]] - Tbl_Contributions[[#This Row],[المسحوبات (تتضمن رد رأس المال والأرباح)]]</f>
        <v>0</v>
      </c>
      <c r="O61" t="str">
        <f>IF(ISBLANK(Tbl_Contributions[[#This Row],[نسبة الإدارة الخاصة به]]), "تنبيه: نسبة الإدارة غير مسجلة", "مكتمل")</f>
        <v>مكتمل</v>
      </c>
    </row>
    <row r="62" spans="1:15" x14ac:dyDescent="0.25">
      <c r="A62" s="11" t="str">
        <f>IFERROR(INDEX([1]!Tbl_Projects[كود المشروع], MATCH([1]!Tbl_Contributions[[#This Row],[اسم المشروع]], [1]!Tbl_Projects[اسم المشروع], 0)), "")</f>
        <v/>
      </c>
      <c r="B62" s="11" t="s">
        <v>252</v>
      </c>
      <c r="C62" s="11" t="s">
        <v>253</v>
      </c>
      <c r="D62" s="11" t="s">
        <v>44</v>
      </c>
      <c r="E62" s="11">
        <v>13833.333333333332</v>
      </c>
      <c r="F62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2.515151515151515E-3</v>
      </c>
      <c r="G62" s="5">
        <v>0.2</v>
      </c>
      <c r="H62" s="13">
        <f>IFERROR(INDEX(Tbl_Projects[صافي الربح], MATCH(Tbl_Contributions[[#This Row],[اسم المشروع]], Tbl_Projects[اسم المشروع], 0)) * Tbl_Contributions[[#This Row],[نسبة مساهمته]], 0)</f>
        <v>-13833.333333333332</v>
      </c>
      <c r="I62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2" s="13">
        <f>Tbl_Contributions[[#This Row],[حصة الربح قبل الإدارة]] - Tbl_Contributions[[#This Row],[نصيب الإدارة]]</f>
        <v>-13833.333333333332</v>
      </c>
      <c r="K62">
        <f>Tbl_Contributions[[#This Row],[رأس مال المساهم]] + Tbl_Contributions[[#This Row],[صافي ربح المساهم]]</f>
        <v>0</v>
      </c>
      <c r="L6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2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2">
        <f>Tbl_Contributions[[#This Row],[إجمالي المستحق للمساهم]] - Tbl_Contributions[[#This Row],[المسحوبات (تتضمن رد رأس المال والأرباح)]]</f>
        <v>0</v>
      </c>
      <c r="O62" t="str">
        <f>IF(ISBLANK(Tbl_Contributions[[#This Row],[نسبة الإدارة الخاصة به]]), "تنبيه: نسبة الإدارة غير مسجلة", "مكتمل")</f>
        <v>مكتمل</v>
      </c>
    </row>
    <row r="63" spans="1:15" x14ac:dyDescent="0.25">
      <c r="A63" s="11" t="str">
        <f>IFERROR(INDEX([1]!Tbl_Projects[كود المشروع], MATCH([1]!Tbl_Contributions[[#This Row],[اسم المشروع]], [1]!Tbl_Projects[اسم المشروع], 0)), "")</f>
        <v/>
      </c>
      <c r="B63" s="11" t="s">
        <v>252</v>
      </c>
      <c r="C63" s="11" t="s">
        <v>253</v>
      </c>
      <c r="D63" s="11" t="s">
        <v>46</v>
      </c>
      <c r="E63" s="11">
        <v>92959.999999999971</v>
      </c>
      <c r="F63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1.6901818181818178E-2</v>
      </c>
      <c r="G63" s="5">
        <v>0.2</v>
      </c>
      <c r="H63" s="13">
        <f>IFERROR(INDEX(Tbl_Projects[صافي الربح], MATCH(Tbl_Contributions[[#This Row],[اسم المشروع]], Tbl_Projects[اسم المشروع], 0)) * Tbl_Contributions[[#This Row],[نسبة مساهمته]], 0)</f>
        <v>-92959.999999999971</v>
      </c>
      <c r="I63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3" s="13">
        <f>Tbl_Contributions[[#This Row],[حصة الربح قبل الإدارة]] - Tbl_Contributions[[#This Row],[نصيب الإدارة]]</f>
        <v>-92959.999999999971</v>
      </c>
      <c r="K63">
        <f>Tbl_Contributions[[#This Row],[رأس مال المساهم]] + Tbl_Contributions[[#This Row],[صافي ربح المساهم]]</f>
        <v>0</v>
      </c>
      <c r="L6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3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3">
        <f>Tbl_Contributions[[#This Row],[إجمالي المستحق للمساهم]] - Tbl_Contributions[[#This Row],[المسحوبات (تتضمن رد رأس المال والأرباح)]]</f>
        <v>0</v>
      </c>
      <c r="O63" t="str">
        <f>IF(ISBLANK(Tbl_Contributions[[#This Row],[نسبة الإدارة الخاصة به]]), "تنبيه: نسبة الإدارة غير مسجلة", "مكتمل")</f>
        <v>مكتمل</v>
      </c>
    </row>
    <row r="64" spans="1:15" x14ac:dyDescent="0.25">
      <c r="A64" s="11" t="str">
        <f>IFERROR(INDEX([1]!Tbl_Projects[كود المشروع], MATCH([1]!Tbl_Contributions[[#This Row],[اسم المشروع]], [1]!Tbl_Projects[اسم المشروع], 0)), "")</f>
        <v/>
      </c>
      <c r="B64" s="11" t="s">
        <v>252</v>
      </c>
      <c r="C64" s="11" t="s">
        <v>253</v>
      </c>
      <c r="D64" s="11" t="s">
        <v>50</v>
      </c>
      <c r="E64" s="11">
        <v>27113.333333333328</v>
      </c>
      <c r="F64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4.9296969696969685E-3</v>
      </c>
      <c r="G64" s="5">
        <v>0.2</v>
      </c>
      <c r="H64" s="13">
        <f>IFERROR(INDEX(Tbl_Projects[صافي الربح], MATCH(Tbl_Contributions[[#This Row],[اسم المشروع]], Tbl_Projects[اسم المشروع], 0)) * Tbl_Contributions[[#This Row],[نسبة مساهمته]], 0)</f>
        <v>-27113.333333333325</v>
      </c>
      <c r="I64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4" s="13">
        <f>Tbl_Contributions[[#This Row],[حصة الربح قبل الإدارة]] - Tbl_Contributions[[#This Row],[نصيب الإدارة]]</f>
        <v>-27113.333333333325</v>
      </c>
      <c r="K64">
        <f>Tbl_Contributions[[#This Row],[رأس مال المساهم]] + Tbl_Contributions[[#This Row],[صافي ربح المساهم]]</f>
        <v>0</v>
      </c>
      <c r="L6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4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4">
        <f>Tbl_Contributions[[#This Row],[إجمالي المستحق للمساهم]] - Tbl_Contributions[[#This Row],[المسحوبات (تتضمن رد رأس المال والأرباح)]]</f>
        <v>0</v>
      </c>
      <c r="O64" t="str">
        <f>IF(ISBLANK(Tbl_Contributions[[#This Row],[نسبة الإدارة الخاصة به]]), "تنبيه: نسبة الإدارة غير مسجلة", "مكتمل")</f>
        <v>مكتمل</v>
      </c>
    </row>
    <row r="65" spans="1:15" x14ac:dyDescent="0.25">
      <c r="A65" s="11" t="str">
        <f>IFERROR(INDEX([1]!Tbl_Projects[كود المشروع], MATCH([1]!Tbl_Contributions[[#This Row],[اسم المشروع]], [1]!Tbl_Projects[اسم المشروع], 0)), "")</f>
        <v/>
      </c>
      <c r="B65" s="11" t="s">
        <v>252</v>
      </c>
      <c r="C65" s="11" t="s">
        <v>253</v>
      </c>
      <c r="D65" s="11" t="s">
        <v>52</v>
      </c>
      <c r="E65" s="11">
        <v>110666.38999999997</v>
      </c>
      <c r="F65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2.0121161818181812E-2</v>
      </c>
      <c r="G65" s="5">
        <v>0.2</v>
      </c>
      <c r="H65" s="13">
        <f>IFERROR(INDEX(Tbl_Projects[صافي الربح], MATCH(Tbl_Contributions[[#This Row],[اسم المشروع]], Tbl_Projects[اسم المشروع], 0)) * Tbl_Contributions[[#This Row],[نسبة مساهمته]], 0)</f>
        <v>-110666.38999999997</v>
      </c>
      <c r="I65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5" s="13">
        <f>Tbl_Contributions[[#This Row],[حصة الربح قبل الإدارة]] - Tbl_Contributions[[#This Row],[نصيب الإدارة]]</f>
        <v>-110666.38999999997</v>
      </c>
      <c r="K65">
        <f>Tbl_Contributions[[#This Row],[رأس مال المساهم]] + Tbl_Contributions[[#This Row],[صافي ربح المساهم]]</f>
        <v>0</v>
      </c>
      <c r="L6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5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5">
        <f>Tbl_Contributions[[#This Row],[إجمالي المستحق للمساهم]] - Tbl_Contributions[[#This Row],[المسحوبات (تتضمن رد رأس المال والأرباح)]]</f>
        <v>0</v>
      </c>
      <c r="O65" t="str">
        <f>IF(ISBLANK(Tbl_Contributions[[#This Row],[نسبة الإدارة الخاصة به]]), "تنبيه: نسبة الإدارة غير مسجلة", "مكتمل")</f>
        <v>مكتمل</v>
      </c>
    </row>
    <row r="66" spans="1:15" x14ac:dyDescent="0.25">
      <c r="A66" s="11" t="str">
        <f>IFERROR(INDEX([1]!Tbl_Projects[كود المشروع], MATCH([1]!Tbl_Contributions[[#This Row],[اسم المشروع]], [1]!Tbl_Projects[اسم المشروع], 0)), "")</f>
        <v/>
      </c>
      <c r="B66" s="11" t="s">
        <v>252</v>
      </c>
      <c r="C66" s="11" t="s">
        <v>253</v>
      </c>
      <c r="D66" s="11" t="s">
        <v>54</v>
      </c>
      <c r="E66" s="11">
        <v>49799.999999999993</v>
      </c>
      <c r="F66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9.054545454545454E-3</v>
      </c>
      <c r="G66" s="5">
        <v>0.2</v>
      </c>
      <c r="H66" s="13">
        <f>IFERROR(INDEX(Tbl_Projects[صافي الربح], MATCH(Tbl_Contributions[[#This Row],[اسم المشروع]], Tbl_Projects[اسم المشروع], 0)) * Tbl_Contributions[[#This Row],[نسبة مساهمته]], 0)</f>
        <v>-49800</v>
      </c>
      <c r="I66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6" s="13">
        <f>Tbl_Contributions[[#This Row],[حصة الربح قبل الإدارة]] - Tbl_Contributions[[#This Row],[نصيب الإدارة]]</f>
        <v>-49800</v>
      </c>
      <c r="K66">
        <f>Tbl_Contributions[[#This Row],[رأس مال المساهم]] + Tbl_Contributions[[#This Row],[صافي ربح المساهم]]</f>
        <v>0</v>
      </c>
      <c r="L6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6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6">
        <f>Tbl_Contributions[[#This Row],[إجمالي المستحق للمساهم]] - Tbl_Contributions[[#This Row],[المسحوبات (تتضمن رد رأس المال والأرباح)]]</f>
        <v>0</v>
      </c>
      <c r="O66" t="str">
        <f>IF(ISBLANK(Tbl_Contributions[[#This Row],[نسبة الإدارة الخاصة به]]), "تنبيه: نسبة الإدارة غير مسجلة", "مكتمل")</f>
        <v>مكتمل</v>
      </c>
    </row>
    <row r="67" spans="1:15" x14ac:dyDescent="0.25">
      <c r="A67" s="11" t="str">
        <f>IFERROR(INDEX([1]!Tbl_Projects[كود المشروع], MATCH([1]!Tbl_Contributions[[#This Row],[اسم المشروع]], [1]!Tbl_Projects[اسم المشروع], 0)), "")</f>
        <v/>
      </c>
      <c r="B67" s="11" t="s">
        <v>252</v>
      </c>
      <c r="C67" s="11" t="s">
        <v>253</v>
      </c>
      <c r="D67" s="11" t="s">
        <v>56</v>
      </c>
      <c r="E67" s="11">
        <v>82999.999999999985</v>
      </c>
      <c r="F67" s="12">
        <f>IF(SUMIFS(Tbl_Contributions[رأس مال المساهم], Tbl_Contributions[اسم المشروع], Tbl_Contributions[[#This Row],[اسم المشروع]])=0, 0, Tbl_Contributions[[#This Row],[رأس مال المساهم]]/SUMIFS(Tbl_Contributions[رأس مال المساهم], Tbl_Contributions[اسم المشروع], Tbl_Contributions[[#This Row],[اسم المشروع]]))</f>
        <v>1.5090909090909089E-2</v>
      </c>
      <c r="G67" s="5">
        <v>0.2</v>
      </c>
      <c r="H67" s="13">
        <f>IFERROR(INDEX(Tbl_Projects[صافي الربح], MATCH(Tbl_Contributions[[#This Row],[اسم المشروع]], Tbl_Projects[اسم المشروع], 0)) * Tbl_Contributions[[#This Row],[نسبة مساهمته]], 0)</f>
        <v>-82999.999999999985</v>
      </c>
      <c r="I67">
        <f>IF(AND(ISNUMBER(Tbl_Contributions[[#This Row],[نسبة الإدارة الخاصة به]]), Tbl_Contributions[[#This Row],[حصة الربح قبل الإدارة]]&gt;0), Tbl_Contributions[[#This Row],[حصة الربح قبل الإدارة]] * Tbl_Contributions[[#This Row],[نسبة الإدارة الخاصة به]], 0)</f>
        <v>0</v>
      </c>
      <c r="J67" s="13">
        <f>Tbl_Contributions[[#This Row],[حصة الربح قبل الإدارة]] - Tbl_Contributions[[#This Row],[نصيب الإدارة]]</f>
        <v>-82999.999999999985</v>
      </c>
      <c r="K67">
        <f>Tbl_Contributions[[#This Row],[رأس مال المساهم]] + Tbl_Contributions[[#This Row],[صافي ربح المساهم]]</f>
        <v>0</v>
      </c>
      <c r="L6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"&lt;&gt;تحويل بين المشاريع", Tbl_Distributions[نوع العملية], "&lt;&gt;مسحوب للإدارة")</f>
        <v>0</v>
      </c>
      <c r="M67">
        <f>SUMIFS(Tbl_Distributions[المبلغ], Tbl_Distributions[المشروع المصدر], Tbl_Contributions[[#This Row],[اسم المشروع]], Tbl_Distributions[المساهم], Tbl_Contributions[[#This Row],[اسم المساهم]], Tbl_Distributions[نوع العملية], "مسحوب للإدارة")</f>
        <v>0</v>
      </c>
      <c r="N67">
        <f>Tbl_Contributions[[#This Row],[إجمالي المستحق للمساهم]] - Tbl_Contributions[[#This Row],[المسحوبات (تتضمن رد رأس المال والأرباح)]]</f>
        <v>0</v>
      </c>
      <c r="O67" t="str">
        <f>IF(ISBLANK(Tbl_Contributions[[#This Row],[نسبة الإدارة الخاصة به]]), "تنبيه: نسبة الإدارة غير مسجلة", "مكتمل")</f>
        <v>مكتمل</v>
      </c>
    </row>
  </sheetData>
  <dataValidations count="2">
    <dataValidation type="list" showInputMessage="1" showErrorMessage="1" sqref="B3:B1040">
      <formula1>ProjList</formula1>
    </dataValidation>
    <dataValidation type="list" showInputMessage="1" showErrorMessage="1" sqref="D3:D1040">
      <formula1>InvList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99"/>
  <sheetViews>
    <sheetView showGridLines="0" rightToLeft="1" workbookViewId="0">
      <pane ySplit="2" topLeftCell="A3" activePane="bottomLeft" state="frozen"/>
      <selection pane="bottomLeft" activeCell="J5" sqref="J5"/>
    </sheetView>
  </sheetViews>
  <sheetFormatPr defaultRowHeight="15" x14ac:dyDescent="0.25"/>
  <cols>
    <col min="1" max="18" width="18" customWidth="1"/>
  </cols>
  <sheetData>
    <row r="2" spans="1:20" x14ac:dyDescent="0.25">
      <c r="A2" s="7" t="s">
        <v>142</v>
      </c>
      <c r="B2" s="7" t="s">
        <v>104</v>
      </c>
      <c r="C2" s="7" t="s">
        <v>105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32</v>
      </c>
      <c r="S2" t="s">
        <v>157</v>
      </c>
      <c r="T2" t="s">
        <v>158</v>
      </c>
    </row>
    <row r="3" spans="1:20" x14ac:dyDescent="0.25">
      <c r="A3">
        <v>1</v>
      </c>
      <c r="B3" t="s">
        <v>249</v>
      </c>
      <c r="C3" t="str">
        <f>IF(B3="","",IFERROR(VLOOKUP(B3,المشاريع!$A:$B,2,FALSE),"⚠️ المشروع غير موجود"))</f>
        <v>شقة الاكاديمية</v>
      </c>
      <c r="D3" t="s">
        <v>254</v>
      </c>
      <c r="G3">
        <v>4000000</v>
      </c>
      <c r="H3" t="s">
        <v>159</v>
      </c>
      <c r="I3">
        <v>4000000</v>
      </c>
      <c r="J3">
        <f t="shared" ref="J3:J66" si="0">IF(G3="","", G3 - IF(I3="",0,I3))</f>
        <v>0</v>
      </c>
      <c r="K3">
        <v>0</v>
      </c>
      <c r="L3">
        <v>0</v>
      </c>
      <c r="O3">
        <v>4000000</v>
      </c>
      <c r="P3">
        <f t="shared" ref="P3:P66" si="1">IF(G3="","", G3 - O3)</f>
        <v>0</v>
      </c>
      <c r="S3" t="e">
        <f>IF(A3="","", SUMIFS(جدول [2]الأقساط!$E:$E, جدول [2]الأقساط!$B:$B, A3))</f>
        <v>#NAME?</v>
      </c>
      <c r="T3" t="str">
        <f t="shared" ref="T3:T66" si="2">IF(A3="","", IF(OR(H3="تقسيط", H3="كاش + تقسيط"), IF(ROUND(ABS(S3-J3),2)&gt;0, "⚠️ جدول الأقساط غير متطابق", "سليم"), "سليم"))</f>
        <v>سليم</v>
      </c>
    </row>
    <row r="4" spans="1:20" x14ac:dyDescent="0.25">
      <c r="C4" t="str">
        <f>IF(B4="","",IFERROR(VLOOKUP(B4,المشاريع!$A:$B,2,FALSE),"⚠️ المشروع غير موجود"))</f>
        <v/>
      </c>
      <c r="J4" t="str">
        <f t="shared" si="0"/>
        <v/>
      </c>
      <c r="O4" t="str">
        <f>IF(A4="","", SUMIFS(التحصيلات!$E:$E, التحصيلات!$I:$I, A4))</f>
        <v/>
      </c>
      <c r="P4" t="str">
        <f t="shared" si="1"/>
        <v/>
      </c>
      <c r="S4" t="str">
        <f>IF(A4="","", SUMIFS(جدول [2]الأقساط!$E:$E, جدول [2]الأقساط!$B:$B, A4))</f>
        <v/>
      </c>
      <c r="T4" t="str">
        <f t="shared" si="2"/>
        <v/>
      </c>
    </row>
    <row r="5" spans="1:20" x14ac:dyDescent="0.25">
      <c r="C5" t="str">
        <f>IF(B5="","",IFERROR(VLOOKUP(B5,المشاريع!$A:$B,2,FALSE),"⚠️ المشروع غير موجود"))</f>
        <v/>
      </c>
      <c r="J5" t="str">
        <f t="shared" si="0"/>
        <v/>
      </c>
      <c r="O5" t="str">
        <f>IF(A5="","", SUMIFS(التحصيلات!$E:$E, التحصيلات!$I:$I, A5))</f>
        <v/>
      </c>
      <c r="P5" t="str">
        <f t="shared" si="1"/>
        <v/>
      </c>
      <c r="S5" t="str">
        <f>IF(A5="","", SUMIFS(جدول [2]الأقساط!$E:$E, جدول [2]الأقساط!$B:$B, A5))</f>
        <v/>
      </c>
      <c r="T5" t="str">
        <f t="shared" si="2"/>
        <v/>
      </c>
    </row>
    <row r="6" spans="1:20" x14ac:dyDescent="0.25">
      <c r="C6" t="str">
        <f>IF(B6="","",IFERROR(VLOOKUP(B6,المشاريع!$A:$B,2,FALSE),"⚠️ المشروع غير موجود"))</f>
        <v/>
      </c>
      <c r="J6" t="str">
        <f t="shared" si="0"/>
        <v/>
      </c>
      <c r="O6" t="str">
        <f>IF(A6="","", SUMIFS(التحصيلات!$E:$E, التحصيلات!$I:$I, A6))</f>
        <v/>
      </c>
      <c r="P6" t="str">
        <f t="shared" si="1"/>
        <v/>
      </c>
      <c r="S6" t="str">
        <f>IF(A6="","", SUMIFS(جدول [2]الأقساط!$E:$E, جدول [2]الأقساط!$B:$B, A6))</f>
        <v/>
      </c>
      <c r="T6" t="str">
        <f t="shared" si="2"/>
        <v/>
      </c>
    </row>
    <row r="7" spans="1:20" x14ac:dyDescent="0.25">
      <c r="C7" t="str">
        <f>IF(B7="","",IFERROR(VLOOKUP(B7,المشاريع!$A:$B,2,FALSE),"⚠️ المشروع غير موجود"))</f>
        <v/>
      </c>
      <c r="J7" t="str">
        <f t="shared" si="0"/>
        <v/>
      </c>
      <c r="O7" t="str">
        <f>IF(A7="","", SUMIFS(التحصيلات!$E:$E, التحصيلات!$I:$I, A7))</f>
        <v/>
      </c>
      <c r="P7" t="str">
        <f t="shared" si="1"/>
        <v/>
      </c>
      <c r="S7" t="str">
        <f>IF(A7="","", SUMIFS(جدول [2]الأقساط!$E:$E, جدول [2]الأقساط!$B:$B, A7))</f>
        <v/>
      </c>
      <c r="T7" t="str">
        <f t="shared" si="2"/>
        <v/>
      </c>
    </row>
    <row r="8" spans="1:20" x14ac:dyDescent="0.25">
      <c r="C8" t="str">
        <f>IF(B8="","",IFERROR(VLOOKUP(B8,المشاريع!$A:$B,2,FALSE),"⚠️ المشروع غير موجود"))</f>
        <v/>
      </c>
      <c r="J8" t="str">
        <f t="shared" si="0"/>
        <v/>
      </c>
      <c r="O8" t="str">
        <f>IF(A8="","", SUMIFS(التحصيلات!$E:$E, التحصيلات!$I:$I, A8))</f>
        <v/>
      </c>
      <c r="P8" t="str">
        <f t="shared" si="1"/>
        <v/>
      </c>
      <c r="S8" t="str">
        <f>IF(A8="","", SUMIFS(جدول [2]الأقساط!$E:$E, جدول [2]الأقساط!$B:$B, A8))</f>
        <v/>
      </c>
      <c r="T8" t="str">
        <f t="shared" si="2"/>
        <v/>
      </c>
    </row>
    <row r="9" spans="1:20" x14ac:dyDescent="0.25">
      <c r="C9" t="str">
        <f>IF(B9="","",IFERROR(VLOOKUP(B9,المشاريع!$A:$B,2,FALSE),"⚠️ المشروع غير موجود"))</f>
        <v/>
      </c>
      <c r="J9" t="str">
        <f t="shared" si="0"/>
        <v/>
      </c>
      <c r="O9" t="str">
        <f>IF(A9="","", SUMIFS(التحصيلات!$E:$E, التحصيلات!$I:$I, A9))</f>
        <v/>
      </c>
      <c r="P9" t="str">
        <f t="shared" si="1"/>
        <v/>
      </c>
      <c r="S9" t="str">
        <f>IF(A9="","", SUMIFS(جدول [2]الأقساط!$E:$E, جدول [2]الأقساط!$B:$B, A9))</f>
        <v/>
      </c>
      <c r="T9" t="str">
        <f t="shared" si="2"/>
        <v/>
      </c>
    </row>
    <row r="10" spans="1:20" x14ac:dyDescent="0.25">
      <c r="C10" t="str">
        <f>IF(B10="","",IFERROR(VLOOKUP(B10,المشاريع!$A:$B,2,FALSE),"⚠️ المشروع غير موجود"))</f>
        <v/>
      </c>
      <c r="J10" t="str">
        <f t="shared" si="0"/>
        <v/>
      </c>
      <c r="O10" t="str">
        <f>IF(A10="","", SUMIFS(التحصيلات!$E:$E, التحصيلات!$I:$I, A10))</f>
        <v/>
      </c>
      <c r="P10" t="str">
        <f t="shared" si="1"/>
        <v/>
      </c>
      <c r="S10" t="str">
        <f>IF(A10="","", SUMIFS(جدول [2]الأقساط!$E:$E, جدول [2]الأقساط!$B:$B, A10))</f>
        <v/>
      </c>
      <c r="T10" t="str">
        <f t="shared" si="2"/>
        <v/>
      </c>
    </row>
    <row r="11" spans="1:20" x14ac:dyDescent="0.25">
      <c r="C11" t="str">
        <f>IF(B11="","",IFERROR(VLOOKUP(B11,المشاريع!$A:$B,2,FALSE),"⚠️ المشروع غير موجود"))</f>
        <v/>
      </c>
      <c r="J11" t="str">
        <f t="shared" si="0"/>
        <v/>
      </c>
      <c r="O11" t="str">
        <f>IF(A11="","", SUMIFS(التحصيلات!$E:$E, التحصيلات!$I:$I, A11))</f>
        <v/>
      </c>
      <c r="P11" t="str">
        <f t="shared" si="1"/>
        <v/>
      </c>
      <c r="S11" t="str">
        <f>IF(A11="","", SUMIFS(جدول [2]الأقساط!$E:$E, جدول [2]الأقساط!$B:$B, A11))</f>
        <v/>
      </c>
      <c r="T11" t="str">
        <f t="shared" si="2"/>
        <v/>
      </c>
    </row>
    <row r="12" spans="1:20" x14ac:dyDescent="0.25">
      <c r="C12" t="str">
        <f>IF(B12="","",IFERROR(VLOOKUP(B12,المشاريع!$A:$B,2,FALSE),"⚠️ المشروع غير موجود"))</f>
        <v/>
      </c>
      <c r="J12" t="str">
        <f t="shared" si="0"/>
        <v/>
      </c>
      <c r="O12" t="str">
        <f>IF(A12="","", SUMIFS(التحصيلات!$E:$E, التحصيلات!$I:$I, A12))</f>
        <v/>
      </c>
      <c r="P12" t="str">
        <f t="shared" si="1"/>
        <v/>
      </c>
      <c r="S12" t="str">
        <f>IF(A12="","", SUMIFS(جدول [2]الأقساط!$E:$E, جدول [2]الأقساط!$B:$B, A12))</f>
        <v/>
      </c>
      <c r="T12" t="str">
        <f t="shared" si="2"/>
        <v/>
      </c>
    </row>
    <row r="13" spans="1:20" x14ac:dyDescent="0.25">
      <c r="C13" t="str">
        <f>IF(B13="","",IFERROR(VLOOKUP(B13,المشاريع!$A:$B,2,FALSE),"⚠️ المشروع غير موجود"))</f>
        <v/>
      </c>
      <c r="J13" t="str">
        <f t="shared" si="0"/>
        <v/>
      </c>
      <c r="O13" t="str">
        <f>IF(A13="","", SUMIFS(التحصيلات!$E:$E, التحصيلات!$I:$I, A13))</f>
        <v/>
      </c>
      <c r="P13" t="str">
        <f t="shared" si="1"/>
        <v/>
      </c>
      <c r="S13" t="str">
        <f>IF(A13="","", SUMIFS(جدول [2]الأقساط!$E:$E, جدول [2]الأقساط!$B:$B, A13))</f>
        <v/>
      </c>
      <c r="T13" t="str">
        <f t="shared" si="2"/>
        <v/>
      </c>
    </row>
    <row r="14" spans="1:20" x14ac:dyDescent="0.25">
      <c r="C14" t="str">
        <f>IF(B14="","",IFERROR(VLOOKUP(B14,المشاريع!$A:$B,2,FALSE),"⚠️ المشروع غير موجود"))</f>
        <v/>
      </c>
      <c r="J14" t="str">
        <f t="shared" si="0"/>
        <v/>
      </c>
      <c r="O14" t="str">
        <f>IF(A14="","", SUMIFS(التحصيلات!$E:$E, التحصيلات!$I:$I, A14))</f>
        <v/>
      </c>
      <c r="P14" t="str">
        <f t="shared" si="1"/>
        <v/>
      </c>
      <c r="S14" t="str">
        <f>IF(A14="","", SUMIFS(جدول [2]الأقساط!$E:$E, جدول [2]الأقساط!$B:$B, A14))</f>
        <v/>
      </c>
      <c r="T14" t="str">
        <f t="shared" si="2"/>
        <v/>
      </c>
    </row>
    <row r="15" spans="1:20" x14ac:dyDescent="0.25">
      <c r="C15" t="str">
        <f>IF(B15="","",IFERROR(VLOOKUP(B15,المشاريع!$A:$B,2,FALSE),"⚠️ المشروع غير موجود"))</f>
        <v/>
      </c>
      <c r="J15" t="str">
        <f t="shared" si="0"/>
        <v/>
      </c>
      <c r="O15" t="str">
        <f>IF(A15="","", SUMIFS(التحصيلات!$E:$E, التحصيلات!$I:$I, A15))</f>
        <v/>
      </c>
      <c r="P15" t="str">
        <f t="shared" si="1"/>
        <v/>
      </c>
      <c r="S15" t="str">
        <f>IF(A15="","", SUMIFS(جدول [2]الأقساط!$E:$E, جدول [2]الأقساط!$B:$B, A15))</f>
        <v/>
      </c>
      <c r="T15" t="str">
        <f t="shared" si="2"/>
        <v/>
      </c>
    </row>
    <row r="16" spans="1:20" x14ac:dyDescent="0.25">
      <c r="C16" t="str">
        <f>IF(B16="","",IFERROR(VLOOKUP(B16,المشاريع!$A:$B,2,FALSE),"⚠️ المشروع غير موجود"))</f>
        <v/>
      </c>
      <c r="J16" t="str">
        <f t="shared" si="0"/>
        <v/>
      </c>
      <c r="O16" t="str">
        <f>IF(A16="","", SUMIFS(التحصيلات!$E:$E, التحصيلات!$I:$I, A16))</f>
        <v/>
      </c>
      <c r="P16" t="str">
        <f t="shared" si="1"/>
        <v/>
      </c>
      <c r="S16" t="str">
        <f>IF(A16="","", SUMIFS(جدول [2]الأقساط!$E:$E, جدول [2]الأقساط!$B:$B, A16))</f>
        <v/>
      </c>
      <c r="T16" t="str">
        <f t="shared" si="2"/>
        <v/>
      </c>
    </row>
    <row r="17" spans="3:20" x14ac:dyDescent="0.25">
      <c r="C17" t="str">
        <f>IF(B17="","",IFERROR(VLOOKUP(B17,المشاريع!$A:$B,2,FALSE),"⚠️ المشروع غير موجود"))</f>
        <v/>
      </c>
      <c r="J17" t="str">
        <f t="shared" si="0"/>
        <v/>
      </c>
      <c r="O17" t="str">
        <f>IF(A17="","", SUMIFS(التحصيلات!$E:$E, التحصيلات!$I:$I, A17))</f>
        <v/>
      </c>
      <c r="P17" t="str">
        <f t="shared" si="1"/>
        <v/>
      </c>
      <c r="S17" t="str">
        <f>IF(A17="","", SUMIFS(جدول [2]الأقساط!$E:$E, جدول [2]الأقساط!$B:$B, A17))</f>
        <v/>
      </c>
      <c r="T17" t="str">
        <f t="shared" si="2"/>
        <v/>
      </c>
    </row>
    <row r="18" spans="3:20" x14ac:dyDescent="0.25">
      <c r="C18" t="str">
        <f>IF(B18="","",IFERROR(VLOOKUP(B18,المشاريع!$A:$B,2,FALSE),"⚠️ المشروع غير موجود"))</f>
        <v/>
      </c>
      <c r="J18" t="str">
        <f t="shared" si="0"/>
        <v/>
      </c>
      <c r="O18" t="str">
        <f>IF(A18="","", SUMIFS(التحصيلات!$E:$E, التحصيلات!$I:$I, A18))</f>
        <v/>
      </c>
      <c r="P18" t="str">
        <f t="shared" si="1"/>
        <v/>
      </c>
      <c r="S18" t="str">
        <f>IF(A18="","", SUMIFS(جدول [2]الأقساط!$E:$E, جدول [2]الأقساط!$B:$B, A18))</f>
        <v/>
      </c>
      <c r="T18" t="str">
        <f t="shared" si="2"/>
        <v/>
      </c>
    </row>
    <row r="19" spans="3:20" x14ac:dyDescent="0.25">
      <c r="C19" t="str">
        <f>IF(B19="","",IFERROR(VLOOKUP(B19,المشاريع!$A:$B,2,FALSE),"⚠️ المشروع غير موجود"))</f>
        <v/>
      </c>
      <c r="J19" t="str">
        <f t="shared" si="0"/>
        <v/>
      </c>
      <c r="O19" t="str">
        <f>IF(A19="","", SUMIFS(التحصيلات!$E:$E, التحصيلات!$I:$I, A19))</f>
        <v/>
      </c>
      <c r="P19" t="str">
        <f t="shared" si="1"/>
        <v/>
      </c>
      <c r="S19" t="str">
        <f>IF(A19="","", SUMIFS(جدول [2]الأقساط!$E:$E, جدول [2]الأقساط!$B:$B, A19))</f>
        <v/>
      </c>
      <c r="T19" t="str">
        <f t="shared" si="2"/>
        <v/>
      </c>
    </row>
    <row r="20" spans="3:20" x14ac:dyDescent="0.25">
      <c r="C20" t="str">
        <f>IF(B20="","",IFERROR(VLOOKUP(B20,المشاريع!$A:$B,2,FALSE),"⚠️ المشروع غير موجود"))</f>
        <v/>
      </c>
      <c r="J20" t="str">
        <f t="shared" si="0"/>
        <v/>
      </c>
      <c r="O20" t="str">
        <f>IF(A20="","", SUMIFS(التحصيلات!$E:$E, التحصيلات!$I:$I, A20))</f>
        <v/>
      </c>
      <c r="P20" t="str">
        <f t="shared" si="1"/>
        <v/>
      </c>
      <c r="S20" t="str">
        <f>IF(A20="","", SUMIFS(جدول [2]الأقساط!$E:$E, جدول [2]الأقساط!$B:$B, A20))</f>
        <v/>
      </c>
      <c r="T20" t="str">
        <f t="shared" si="2"/>
        <v/>
      </c>
    </row>
    <row r="21" spans="3:20" x14ac:dyDescent="0.25">
      <c r="C21" t="str">
        <f>IF(B21="","",IFERROR(VLOOKUP(B21,المشاريع!$A:$B,2,FALSE),"⚠️ المشروع غير موجود"))</f>
        <v/>
      </c>
      <c r="J21" t="str">
        <f t="shared" si="0"/>
        <v/>
      </c>
      <c r="O21" t="str">
        <f>IF(A21="","", SUMIFS(التحصيلات!$E:$E, التحصيلات!$I:$I, A21))</f>
        <v/>
      </c>
      <c r="P21" t="str">
        <f t="shared" si="1"/>
        <v/>
      </c>
      <c r="S21" t="str">
        <f>IF(A21="","", SUMIFS(جدول [2]الأقساط!$E:$E, جدول [2]الأقساط!$B:$B, A21))</f>
        <v/>
      </c>
      <c r="T21" t="str">
        <f t="shared" si="2"/>
        <v/>
      </c>
    </row>
    <row r="22" spans="3:20" x14ac:dyDescent="0.25">
      <c r="C22" t="str">
        <f>IF(B22="","",IFERROR(VLOOKUP(B22,المشاريع!$A:$B,2,FALSE),"⚠️ المشروع غير موجود"))</f>
        <v/>
      </c>
      <c r="J22" t="str">
        <f t="shared" si="0"/>
        <v/>
      </c>
      <c r="O22" t="str">
        <f>IF(A22="","", SUMIFS(التحصيلات!$E:$E, التحصيلات!$I:$I, A22))</f>
        <v/>
      </c>
      <c r="P22" t="str">
        <f t="shared" si="1"/>
        <v/>
      </c>
      <c r="S22" t="str">
        <f>IF(A22="","", SUMIFS(جدول [2]الأقساط!$E:$E, جدول [2]الأقساط!$B:$B, A22))</f>
        <v/>
      </c>
      <c r="T22" t="str">
        <f t="shared" si="2"/>
        <v/>
      </c>
    </row>
    <row r="23" spans="3:20" x14ac:dyDescent="0.25">
      <c r="C23" t="str">
        <f>IF(B23="","",IFERROR(VLOOKUP(B23,المشاريع!$A:$B,2,FALSE),"⚠️ المشروع غير موجود"))</f>
        <v/>
      </c>
      <c r="J23" t="str">
        <f t="shared" si="0"/>
        <v/>
      </c>
      <c r="O23" t="str">
        <f>IF(A23="","", SUMIFS(التحصيلات!$E:$E, التحصيلات!$I:$I, A23))</f>
        <v/>
      </c>
      <c r="P23" t="str">
        <f t="shared" si="1"/>
        <v/>
      </c>
      <c r="S23" t="str">
        <f>IF(A23="","", SUMIFS(جدول [2]الأقساط!$E:$E, جدول [2]الأقساط!$B:$B, A23))</f>
        <v/>
      </c>
      <c r="T23" t="str">
        <f t="shared" si="2"/>
        <v/>
      </c>
    </row>
    <row r="24" spans="3:20" x14ac:dyDescent="0.25">
      <c r="C24" t="str">
        <f>IF(B24="","",IFERROR(VLOOKUP(B24,المشاريع!$A:$B,2,FALSE),"⚠️ المشروع غير موجود"))</f>
        <v/>
      </c>
      <c r="J24" t="str">
        <f t="shared" si="0"/>
        <v/>
      </c>
      <c r="O24" t="str">
        <f>IF(A24="","", SUMIFS(التحصيلات!$E:$E, التحصيلات!$I:$I, A24))</f>
        <v/>
      </c>
      <c r="P24" t="str">
        <f t="shared" si="1"/>
        <v/>
      </c>
      <c r="S24" t="str">
        <f>IF(A24="","", SUMIFS(جدول [2]الأقساط!$E:$E, جدول [2]الأقساط!$B:$B, A24))</f>
        <v/>
      </c>
      <c r="T24" t="str">
        <f t="shared" si="2"/>
        <v/>
      </c>
    </row>
    <row r="25" spans="3:20" x14ac:dyDescent="0.25">
      <c r="C25" t="str">
        <f>IF(B25="","",IFERROR(VLOOKUP(B25,المشاريع!$A:$B,2,FALSE),"⚠️ المشروع غير موجود"))</f>
        <v/>
      </c>
      <c r="J25" t="str">
        <f t="shared" si="0"/>
        <v/>
      </c>
      <c r="O25" t="str">
        <f>IF(A25="","", SUMIFS(التحصيلات!$E:$E, التحصيلات!$I:$I, A25))</f>
        <v/>
      </c>
      <c r="P25" t="str">
        <f t="shared" si="1"/>
        <v/>
      </c>
      <c r="S25" t="str">
        <f>IF(A25="","", SUMIFS(جدول [2]الأقساط!$E:$E, جدول [2]الأقساط!$B:$B, A25))</f>
        <v/>
      </c>
      <c r="T25" t="str">
        <f t="shared" si="2"/>
        <v/>
      </c>
    </row>
    <row r="26" spans="3:20" x14ac:dyDescent="0.25">
      <c r="C26" t="str">
        <f>IF(B26="","",IFERROR(VLOOKUP(B26,المشاريع!$A:$B,2,FALSE),"⚠️ المشروع غير موجود"))</f>
        <v/>
      </c>
      <c r="J26" t="str">
        <f t="shared" si="0"/>
        <v/>
      </c>
      <c r="O26" t="str">
        <f>IF(A26="","", SUMIFS(التحصيلات!$E:$E, التحصيلات!$I:$I, A26))</f>
        <v/>
      </c>
      <c r="P26" t="str">
        <f t="shared" si="1"/>
        <v/>
      </c>
      <c r="S26" t="str">
        <f>IF(A26="","", SUMIFS(جدول [2]الأقساط!$E:$E, جدول [2]الأقساط!$B:$B, A26))</f>
        <v/>
      </c>
      <c r="T26" t="str">
        <f t="shared" si="2"/>
        <v/>
      </c>
    </row>
    <row r="27" spans="3:20" x14ac:dyDescent="0.25">
      <c r="C27" t="str">
        <f>IF(B27="","",IFERROR(VLOOKUP(B27,المشاريع!$A:$B,2,FALSE),"⚠️ المشروع غير موجود"))</f>
        <v/>
      </c>
      <c r="J27" t="str">
        <f t="shared" si="0"/>
        <v/>
      </c>
      <c r="O27" t="str">
        <f>IF(A27="","", SUMIFS(التحصيلات!$E:$E, التحصيلات!$I:$I, A27))</f>
        <v/>
      </c>
      <c r="P27" t="str">
        <f t="shared" si="1"/>
        <v/>
      </c>
      <c r="S27" t="str">
        <f>IF(A27="","", SUMIFS(جدول [2]الأقساط!$E:$E, جدول [2]الأقساط!$B:$B, A27))</f>
        <v/>
      </c>
      <c r="T27" t="str">
        <f t="shared" si="2"/>
        <v/>
      </c>
    </row>
    <row r="28" spans="3:20" x14ac:dyDescent="0.25">
      <c r="C28" t="str">
        <f>IF(B28="","",IFERROR(VLOOKUP(B28,المشاريع!$A:$B,2,FALSE),"⚠️ المشروع غير موجود"))</f>
        <v/>
      </c>
      <c r="J28" t="str">
        <f t="shared" si="0"/>
        <v/>
      </c>
      <c r="O28" t="str">
        <f>IF(A28="","", SUMIFS(التحصيلات!$E:$E, التحصيلات!$I:$I, A28))</f>
        <v/>
      </c>
      <c r="P28" t="str">
        <f t="shared" si="1"/>
        <v/>
      </c>
      <c r="S28" t="str">
        <f>IF(A28="","", SUMIFS(جدول [2]الأقساط!$E:$E, جدول [2]الأقساط!$B:$B, A28))</f>
        <v/>
      </c>
      <c r="T28" t="str">
        <f t="shared" si="2"/>
        <v/>
      </c>
    </row>
    <row r="29" spans="3:20" x14ac:dyDescent="0.25">
      <c r="C29" t="str">
        <f>IF(B29="","",IFERROR(VLOOKUP(B29,المشاريع!$A:$B,2,FALSE),"⚠️ المشروع غير موجود"))</f>
        <v/>
      </c>
      <c r="J29" t="str">
        <f t="shared" si="0"/>
        <v/>
      </c>
      <c r="O29" t="str">
        <f>IF(A29="","", SUMIFS(التحصيلات!$E:$E, التحصيلات!$I:$I, A29))</f>
        <v/>
      </c>
      <c r="P29" t="str">
        <f t="shared" si="1"/>
        <v/>
      </c>
      <c r="S29" t="str">
        <f>IF(A29="","", SUMIFS(جدول [2]الأقساط!$E:$E, جدول [2]الأقساط!$B:$B, A29))</f>
        <v/>
      </c>
      <c r="T29" t="str">
        <f t="shared" si="2"/>
        <v/>
      </c>
    </row>
    <row r="30" spans="3:20" x14ac:dyDescent="0.25">
      <c r="C30" t="str">
        <f>IF(B30="","",IFERROR(VLOOKUP(B30,المشاريع!$A:$B,2,FALSE),"⚠️ المشروع غير موجود"))</f>
        <v/>
      </c>
      <c r="J30" t="str">
        <f t="shared" si="0"/>
        <v/>
      </c>
      <c r="O30" t="str">
        <f>IF(A30="","", SUMIFS(التحصيلات!$E:$E, التحصيلات!$I:$I, A30))</f>
        <v/>
      </c>
      <c r="P30" t="str">
        <f t="shared" si="1"/>
        <v/>
      </c>
      <c r="S30" t="str">
        <f>IF(A30="","", SUMIFS(جدول [2]الأقساط!$E:$E, جدول [2]الأقساط!$B:$B, A30))</f>
        <v/>
      </c>
      <c r="T30" t="str">
        <f t="shared" si="2"/>
        <v/>
      </c>
    </row>
    <row r="31" spans="3:20" x14ac:dyDescent="0.25">
      <c r="C31" t="str">
        <f>IF(B31="","",IFERROR(VLOOKUP(B31,المشاريع!$A:$B,2,FALSE),"⚠️ المشروع غير موجود"))</f>
        <v/>
      </c>
      <c r="J31" t="str">
        <f t="shared" si="0"/>
        <v/>
      </c>
      <c r="O31" t="str">
        <f>IF(A31="","", SUMIFS(التحصيلات!$E:$E, التحصيلات!$I:$I, A31))</f>
        <v/>
      </c>
      <c r="P31" t="str">
        <f t="shared" si="1"/>
        <v/>
      </c>
      <c r="S31" t="str">
        <f>IF(A31="","", SUMIFS(جدول [2]الأقساط!$E:$E, جدول [2]الأقساط!$B:$B, A31))</f>
        <v/>
      </c>
      <c r="T31" t="str">
        <f t="shared" si="2"/>
        <v/>
      </c>
    </row>
    <row r="32" spans="3:20" x14ac:dyDescent="0.25">
      <c r="C32" t="str">
        <f>IF(B32="","",IFERROR(VLOOKUP(B32,المشاريع!$A:$B,2,FALSE),"⚠️ المشروع غير موجود"))</f>
        <v/>
      </c>
      <c r="J32" t="str">
        <f t="shared" si="0"/>
        <v/>
      </c>
      <c r="O32" t="str">
        <f>IF(A32="","", SUMIFS(التحصيلات!$E:$E, التحصيلات!$I:$I, A32))</f>
        <v/>
      </c>
      <c r="P32" t="str">
        <f t="shared" si="1"/>
        <v/>
      </c>
      <c r="S32" t="str">
        <f>IF(A32="","", SUMIFS(جدول [2]الأقساط!$E:$E, جدول [2]الأقساط!$B:$B, A32))</f>
        <v/>
      </c>
      <c r="T32" t="str">
        <f t="shared" si="2"/>
        <v/>
      </c>
    </row>
    <row r="33" spans="3:20" x14ac:dyDescent="0.25">
      <c r="C33" t="str">
        <f>IF(B33="","",IFERROR(VLOOKUP(B33,المشاريع!$A:$B,2,FALSE),"⚠️ المشروع غير موجود"))</f>
        <v/>
      </c>
      <c r="J33" t="str">
        <f t="shared" si="0"/>
        <v/>
      </c>
      <c r="O33" t="str">
        <f>IF(A33="","", SUMIFS(التحصيلات!$E:$E, التحصيلات!$I:$I, A33))</f>
        <v/>
      </c>
      <c r="P33" t="str">
        <f t="shared" si="1"/>
        <v/>
      </c>
      <c r="S33" t="str">
        <f>IF(A33="","", SUMIFS(جدول [2]الأقساط!$E:$E, جدول [2]الأقساط!$B:$B, A33))</f>
        <v/>
      </c>
      <c r="T33" t="str">
        <f t="shared" si="2"/>
        <v/>
      </c>
    </row>
    <row r="34" spans="3:20" x14ac:dyDescent="0.25">
      <c r="C34" t="str">
        <f>IF(B34="","",IFERROR(VLOOKUP(B34,المشاريع!$A:$B,2,FALSE),"⚠️ المشروع غير موجود"))</f>
        <v/>
      </c>
      <c r="J34" t="str">
        <f t="shared" si="0"/>
        <v/>
      </c>
      <c r="O34" t="str">
        <f>IF(A34="","", SUMIFS(التحصيلات!$E:$E, التحصيلات!$I:$I, A34))</f>
        <v/>
      </c>
      <c r="P34" t="str">
        <f t="shared" si="1"/>
        <v/>
      </c>
      <c r="S34" t="str">
        <f>IF(A34="","", SUMIFS(جدول [2]الأقساط!$E:$E, جدول [2]الأقساط!$B:$B, A34))</f>
        <v/>
      </c>
      <c r="T34" t="str">
        <f t="shared" si="2"/>
        <v/>
      </c>
    </row>
    <row r="35" spans="3:20" x14ac:dyDescent="0.25">
      <c r="C35" t="str">
        <f>IF(B35="","",IFERROR(VLOOKUP(B35,المشاريع!$A:$B,2,FALSE),"⚠️ المشروع غير موجود"))</f>
        <v/>
      </c>
      <c r="J35" t="str">
        <f t="shared" si="0"/>
        <v/>
      </c>
      <c r="O35" t="str">
        <f>IF(A35="","", SUMIFS(التحصيلات!$E:$E, التحصيلات!$I:$I, A35))</f>
        <v/>
      </c>
      <c r="P35" t="str">
        <f t="shared" si="1"/>
        <v/>
      </c>
      <c r="S35" t="str">
        <f>IF(A35="","", SUMIFS(جدول [2]الأقساط!$E:$E, جدول [2]الأقساط!$B:$B, A35))</f>
        <v/>
      </c>
      <c r="T35" t="str">
        <f t="shared" si="2"/>
        <v/>
      </c>
    </row>
    <row r="36" spans="3:20" x14ac:dyDescent="0.25">
      <c r="C36" t="str">
        <f>IF(B36="","",IFERROR(VLOOKUP(B36,المشاريع!$A:$B,2,FALSE),"⚠️ المشروع غير موجود"))</f>
        <v/>
      </c>
      <c r="J36" t="str">
        <f t="shared" si="0"/>
        <v/>
      </c>
      <c r="O36" t="str">
        <f>IF(A36="","", SUMIFS(التحصيلات!$E:$E, التحصيلات!$I:$I, A36))</f>
        <v/>
      </c>
      <c r="P36" t="str">
        <f t="shared" si="1"/>
        <v/>
      </c>
      <c r="S36" t="str">
        <f>IF(A36="","", SUMIFS(جدول [2]الأقساط!$E:$E, جدول [2]الأقساط!$B:$B, A36))</f>
        <v/>
      </c>
      <c r="T36" t="str">
        <f t="shared" si="2"/>
        <v/>
      </c>
    </row>
    <row r="37" spans="3:20" x14ac:dyDescent="0.25">
      <c r="C37" t="str">
        <f>IF(B37="","",IFERROR(VLOOKUP(B37,المشاريع!$A:$B,2,FALSE),"⚠️ المشروع غير موجود"))</f>
        <v/>
      </c>
      <c r="J37" t="str">
        <f t="shared" si="0"/>
        <v/>
      </c>
      <c r="O37" t="str">
        <f>IF(A37="","", SUMIFS(التحصيلات!$E:$E, التحصيلات!$I:$I, A37))</f>
        <v/>
      </c>
      <c r="P37" t="str">
        <f t="shared" si="1"/>
        <v/>
      </c>
      <c r="S37" t="str">
        <f>IF(A37="","", SUMIFS(جدول [2]الأقساط!$E:$E, جدول [2]الأقساط!$B:$B, A37))</f>
        <v/>
      </c>
      <c r="T37" t="str">
        <f t="shared" si="2"/>
        <v/>
      </c>
    </row>
    <row r="38" spans="3:20" x14ac:dyDescent="0.25">
      <c r="C38" t="str">
        <f>IF(B38="","",IFERROR(VLOOKUP(B38,المشاريع!$A:$B,2,FALSE),"⚠️ المشروع غير موجود"))</f>
        <v/>
      </c>
      <c r="J38" t="str">
        <f t="shared" si="0"/>
        <v/>
      </c>
      <c r="O38" t="str">
        <f>IF(A38="","", SUMIFS(التحصيلات!$E:$E, التحصيلات!$I:$I, A38))</f>
        <v/>
      </c>
      <c r="P38" t="str">
        <f t="shared" si="1"/>
        <v/>
      </c>
      <c r="S38" t="str">
        <f>IF(A38="","", SUMIFS(جدول [2]الأقساط!$E:$E, جدول [2]الأقساط!$B:$B, A38))</f>
        <v/>
      </c>
      <c r="T38" t="str">
        <f t="shared" si="2"/>
        <v/>
      </c>
    </row>
    <row r="39" spans="3:20" x14ac:dyDescent="0.25">
      <c r="C39" t="str">
        <f>IF(B39="","",IFERROR(VLOOKUP(B39,المشاريع!$A:$B,2,FALSE),"⚠️ المشروع غير موجود"))</f>
        <v/>
      </c>
      <c r="J39" t="str">
        <f t="shared" si="0"/>
        <v/>
      </c>
      <c r="O39" t="str">
        <f>IF(A39="","", SUMIFS(التحصيلات!$E:$E, التحصيلات!$I:$I, A39))</f>
        <v/>
      </c>
      <c r="P39" t="str">
        <f t="shared" si="1"/>
        <v/>
      </c>
      <c r="S39" t="str">
        <f>IF(A39="","", SUMIFS(جدول [2]الأقساط!$E:$E, جدول [2]الأقساط!$B:$B, A39))</f>
        <v/>
      </c>
      <c r="T39" t="str">
        <f t="shared" si="2"/>
        <v/>
      </c>
    </row>
    <row r="40" spans="3:20" x14ac:dyDescent="0.25">
      <c r="C40" t="str">
        <f>IF(B40="","",IFERROR(VLOOKUP(B40,المشاريع!$A:$B,2,FALSE),"⚠️ المشروع غير موجود"))</f>
        <v/>
      </c>
      <c r="J40" t="str">
        <f t="shared" si="0"/>
        <v/>
      </c>
      <c r="O40" t="str">
        <f>IF(A40="","", SUMIFS(التحصيلات!$E:$E, التحصيلات!$I:$I, A40))</f>
        <v/>
      </c>
      <c r="P40" t="str">
        <f t="shared" si="1"/>
        <v/>
      </c>
      <c r="S40" t="str">
        <f>IF(A40="","", SUMIFS(جدول [2]الأقساط!$E:$E, جدول [2]الأقساط!$B:$B, A40))</f>
        <v/>
      </c>
      <c r="T40" t="str">
        <f t="shared" si="2"/>
        <v/>
      </c>
    </row>
    <row r="41" spans="3:20" x14ac:dyDescent="0.25">
      <c r="C41" t="str">
        <f>IF(B41="","",IFERROR(VLOOKUP(B41,المشاريع!$A:$B,2,FALSE),"⚠️ المشروع غير موجود"))</f>
        <v/>
      </c>
      <c r="J41" t="str">
        <f t="shared" si="0"/>
        <v/>
      </c>
      <c r="O41" t="str">
        <f>IF(A41="","", SUMIFS(التحصيلات!$E:$E, التحصيلات!$I:$I, A41))</f>
        <v/>
      </c>
      <c r="P41" t="str">
        <f t="shared" si="1"/>
        <v/>
      </c>
      <c r="S41" t="str">
        <f>IF(A41="","", SUMIFS(جدول [2]الأقساط!$E:$E, جدول [2]الأقساط!$B:$B, A41))</f>
        <v/>
      </c>
      <c r="T41" t="str">
        <f t="shared" si="2"/>
        <v/>
      </c>
    </row>
    <row r="42" spans="3:20" x14ac:dyDescent="0.25">
      <c r="C42" t="str">
        <f>IF(B42="","",IFERROR(VLOOKUP(B42,المشاريع!$A:$B,2,FALSE),"⚠️ المشروع غير موجود"))</f>
        <v/>
      </c>
      <c r="J42" t="str">
        <f t="shared" si="0"/>
        <v/>
      </c>
      <c r="O42" t="str">
        <f>IF(A42="","", SUMIFS(التحصيلات!$E:$E, التحصيلات!$I:$I, A42))</f>
        <v/>
      </c>
      <c r="P42" t="str">
        <f t="shared" si="1"/>
        <v/>
      </c>
      <c r="S42" t="str">
        <f>IF(A42="","", SUMIFS(جدول [2]الأقساط!$E:$E, جدول [2]الأقساط!$B:$B, A42))</f>
        <v/>
      </c>
      <c r="T42" t="str">
        <f t="shared" si="2"/>
        <v/>
      </c>
    </row>
    <row r="43" spans="3:20" x14ac:dyDescent="0.25">
      <c r="C43" t="str">
        <f>IF(B43="","",IFERROR(VLOOKUP(B43,المشاريع!$A:$B,2,FALSE),"⚠️ المشروع غير موجود"))</f>
        <v/>
      </c>
      <c r="J43" t="str">
        <f t="shared" si="0"/>
        <v/>
      </c>
      <c r="O43" t="str">
        <f>IF(A43="","", SUMIFS(التحصيلات!$E:$E, التحصيلات!$I:$I, A43))</f>
        <v/>
      </c>
      <c r="P43" t="str">
        <f t="shared" si="1"/>
        <v/>
      </c>
      <c r="S43" t="str">
        <f>IF(A43="","", SUMIFS(جدول [2]الأقساط!$E:$E, جدول [2]الأقساط!$B:$B, A43))</f>
        <v/>
      </c>
      <c r="T43" t="str">
        <f t="shared" si="2"/>
        <v/>
      </c>
    </row>
    <row r="44" spans="3:20" x14ac:dyDescent="0.25">
      <c r="C44" t="str">
        <f>IF(B44="","",IFERROR(VLOOKUP(B44,المشاريع!$A:$B,2,FALSE),"⚠️ المشروع غير موجود"))</f>
        <v/>
      </c>
      <c r="J44" t="str">
        <f t="shared" si="0"/>
        <v/>
      </c>
      <c r="O44" t="str">
        <f>IF(A44="","", SUMIFS(التحصيلات!$E:$E, التحصيلات!$I:$I, A44))</f>
        <v/>
      </c>
      <c r="P44" t="str">
        <f t="shared" si="1"/>
        <v/>
      </c>
      <c r="S44" t="str">
        <f>IF(A44="","", SUMIFS(جدول [2]الأقساط!$E:$E, جدول [2]الأقساط!$B:$B, A44))</f>
        <v/>
      </c>
      <c r="T44" t="str">
        <f t="shared" si="2"/>
        <v/>
      </c>
    </row>
    <row r="45" spans="3:20" x14ac:dyDescent="0.25">
      <c r="C45" t="str">
        <f>IF(B45="","",IFERROR(VLOOKUP(B45,المشاريع!$A:$B,2,FALSE),"⚠️ المشروع غير موجود"))</f>
        <v/>
      </c>
      <c r="J45" t="str">
        <f t="shared" si="0"/>
        <v/>
      </c>
      <c r="O45" t="str">
        <f>IF(A45="","", SUMIFS(التحصيلات!$E:$E, التحصيلات!$I:$I, A45))</f>
        <v/>
      </c>
      <c r="P45" t="str">
        <f t="shared" si="1"/>
        <v/>
      </c>
      <c r="S45" t="str">
        <f>IF(A45="","", SUMIFS(جدول [2]الأقساط!$E:$E, جدول [2]الأقساط!$B:$B, A45))</f>
        <v/>
      </c>
      <c r="T45" t="str">
        <f t="shared" si="2"/>
        <v/>
      </c>
    </row>
    <row r="46" spans="3:20" x14ac:dyDescent="0.25">
      <c r="C46" t="str">
        <f>IF(B46="","",IFERROR(VLOOKUP(B46,المشاريع!$A:$B,2,FALSE),"⚠️ المشروع غير موجود"))</f>
        <v/>
      </c>
      <c r="J46" t="str">
        <f t="shared" si="0"/>
        <v/>
      </c>
      <c r="O46" t="str">
        <f>IF(A46="","", SUMIFS(التحصيلات!$E:$E, التحصيلات!$I:$I, A46))</f>
        <v/>
      </c>
      <c r="P46" t="str">
        <f t="shared" si="1"/>
        <v/>
      </c>
      <c r="S46" t="str">
        <f>IF(A46="","", SUMIFS(جدول [2]الأقساط!$E:$E, جدول [2]الأقساط!$B:$B, A46))</f>
        <v/>
      </c>
      <c r="T46" t="str">
        <f t="shared" si="2"/>
        <v/>
      </c>
    </row>
    <row r="47" spans="3:20" x14ac:dyDescent="0.25">
      <c r="C47" t="str">
        <f>IF(B47="","",IFERROR(VLOOKUP(B47,المشاريع!$A:$B,2,FALSE),"⚠️ المشروع غير موجود"))</f>
        <v/>
      </c>
      <c r="J47" t="str">
        <f t="shared" si="0"/>
        <v/>
      </c>
      <c r="O47" t="str">
        <f>IF(A47="","", SUMIFS(التحصيلات!$E:$E, التحصيلات!$I:$I, A47))</f>
        <v/>
      </c>
      <c r="P47" t="str">
        <f t="shared" si="1"/>
        <v/>
      </c>
      <c r="S47" t="str">
        <f>IF(A47="","", SUMIFS(جدول [2]الأقساط!$E:$E, جدول [2]الأقساط!$B:$B, A47))</f>
        <v/>
      </c>
      <c r="T47" t="str">
        <f t="shared" si="2"/>
        <v/>
      </c>
    </row>
    <row r="48" spans="3:20" x14ac:dyDescent="0.25">
      <c r="C48" t="str">
        <f>IF(B48="","",IFERROR(VLOOKUP(B48,المشاريع!$A:$B,2,FALSE),"⚠️ المشروع غير موجود"))</f>
        <v/>
      </c>
      <c r="J48" t="str">
        <f t="shared" si="0"/>
        <v/>
      </c>
      <c r="O48" t="str">
        <f>IF(A48="","", SUMIFS(التحصيلات!$E:$E, التحصيلات!$I:$I, A48))</f>
        <v/>
      </c>
      <c r="P48" t="str">
        <f t="shared" si="1"/>
        <v/>
      </c>
      <c r="S48" t="str">
        <f>IF(A48="","", SUMIFS(جدول [2]الأقساط!$E:$E, جدول [2]الأقساط!$B:$B, A48))</f>
        <v/>
      </c>
      <c r="T48" t="str">
        <f t="shared" si="2"/>
        <v/>
      </c>
    </row>
    <row r="49" spans="3:20" x14ac:dyDescent="0.25">
      <c r="C49" t="str">
        <f>IF(B49="","",IFERROR(VLOOKUP(B49,المشاريع!$A:$B,2,FALSE),"⚠️ المشروع غير موجود"))</f>
        <v/>
      </c>
      <c r="J49" t="str">
        <f t="shared" si="0"/>
        <v/>
      </c>
      <c r="O49" t="str">
        <f>IF(A49="","", SUMIFS(التحصيلات!$E:$E, التحصيلات!$I:$I, A49))</f>
        <v/>
      </c>
      <c r="P49" t="str">
        <f t="shared" si="1"/>
        <v/>
      </c>
      <c r="S49" t="str">
        <f>IF(A49="","", SUMIFS(جدول [2]الأقساط!$E:$E, جدول [2]الأقساط!$B:$B, A49))</f>
        <v/>
      </c>
      <c r="T49" t="str">
        <f t="shared" si="2"/>
        <v/>
      </c>
    </row>
    <row r="50" spans="3:20" x14ac:dyDescent="0.25">
      <c r="C50" t="str">
        <f>IF(B50="","",IFERROR(VLOOKUP(B50,المشاريع!$A:$B,2,FALSE),"⚠️ المشروع غير موجود"))</f>
        <v/>
      </c>
      <c r="J50" t="str">
        <f t="shared" si="0"/>
        <v/>
      </c>
      <c r="O50" t="str">
        <f>IF(A50="","", SUMIFS(التحصيلات!$E:$E, التحصيلات!$I:$I, A50))</f>
        <v/>
      </c>
      <c r="P50" t="str">
        <f t="shared" si="1"/>
        <v/>
      </c>
      <c r="S50" t="str">
        <f>IF(A50="","", SUMIFS(جدول [2]الأقساط!$E:$E, جدول [2]الأقساط!$B:$B, A50))</f>
        <v/>
      </c>
      <c r="T50" t="str">
        <f t="shared" si="2"/>
        <v/>
      </c>
    </row>
    <row r="51" spans="3:20" x14ac:dyDescent="0.25">
      <c r="C51" t="str">
        <f>IF(B51="","",IFERROR(VLOOKUP(B51,المشاريع!$A:$B,2,FALSE),"⚠️ المشروع غير موجود"))</f>
        <v/>
      </c>
      <c r="J51" t="str">
        <f t="shared" si="0"/>
        <v/>
      </c>
      <c r="O51" t="str">
        <f>IF(A51="","", SUMIFS(التحصيلات!$E:$E, التحصيلات!$I:$I, A51))</f>
        <v/>
      </c>
      <c r="P51" t="str">
        <f t="shared" si="1"/>
        <v/>
      </c>
      <c r="S51" t="str">
        <f>IF(A51="","", SUMIFS(جدول [2]الأقساط!$E:$E, جدول [2]الأقساط!$B:$B, A51))</f>
        <v/>
      </c>
      <c r="T51" t="str">
        <f t="shared" si="2"/>
        <v/>
      </c>
    </row>
    <row r="52" spans="3:20" x14ac:dyDescent="0.25">
      <c r="C52" t="str">
        <f>IF(B52="","",IFERROR(VLOOKUP(B52,المشاريع!$A:$B,2,FALSE),"⚠️ المشروع غير موجود"))</f>
        <v/>
      </c>
      <c r="J52" t="str">
        <f t="shared" si="0"/>
        <v/>
      </c>
      <c r="O52" t="str">
        <f>IF(A52="","", SUMIFS(التحصيلات!$E:$E, التحصيلات!$I:$I, A52))</f>
        <v/>
      </c>
      <c r="P52" t="str">
        <f t="shared" si="1"/>
        <v/>
      </c>
      <c r="S52" t="str">
        <f>IF(A52="","", SUMIFS(جدول [2]الأقساط!$E:$E, جدول [2]الأقساط!$B:$B, A52))</f>
        <v/>
      </c>
      <c r="T52" t="str">
        <f t="shared" si="2"/>
        <v/>
      </c>
    </row>
    <row r="53" spans="3:20" x14ac:dyDescent="0.25">
      <c r="C53" t="str">
        <f>IF(B53="","",IFERROR(VLOOKUP(B53,المشاريع!$A:$B,2,FALSE),"⚠️ المشروع غير موجود"))</f>
        <v/>
      </c>
      <c r="J53" t="str">
        <f t="shared" si="0"/>
        <v/>
      </c>
      <c r="O53" t="str">
        <f>IF(A53="","", SUMIFS(التحصيلات!$E:$E, التحصيلات!$I:$I, A53))</f>
        <v/>
      </c>
      <c r="P53" t="str">
        <f t="shared" si="1"/>
        <v/>
      </c>
      <c r="S53" t="str">
        <f>IF(A53="","", SUMIFS(جدول [2]الأقساط!$E:$E, جدول [2]الأقساط!$B:$B, A53))</f>
        <v/>
      </c>
      <c r="T53" t="str">
        <f t="shared" si="2"/>
        <v/>
      </c>
    </row>
    <row r="54" spans="3:20" x14ac:dyDescent="0.25">
      <c r="C54" t="str">
        <f>IF(B54="","",IFERROR(VLOOKUP(B54,المشاريع!$A:$B,2,FALSE),"⚠️ المشروع غير موجود"))</f>
        <v/>
      </c>
      <c r="J54" t="str">
        <f t="shared" si="0"/>
        <v/>
      </c>
      <c r="O54" t="str">
        <f>IF(A54="","", SUMIFS(التحصيلات!$E:$E, التحصيلات!$I:$I, A54))</f>
        <v/>
      </c>
      <c r="P54" t="str">
        <f t="shared" si="1"/>
        <v/>
      </c>
      <c r="S54" t="str">
        <f>IF(A54="","", SUMIFS(جدول [2]الأقساط!$E:$E, جدول [2]الأقساط!$B:$B, A54))</f>
        <v/>
      </c>
      <c r="T54" t="str">
        <f t="shared" si="2"/>
        <v/>
      </c>
    </row>
    <row r="55" spans="3:20" x14ac:dyDescent="0.25">
      <c r="C55" t="str">
        <f>IF(B55="","",IFERROR(VLOOKUP(B55,المشاريع!$A:$B,2,FALSE),"⚠️ المشروع غير موجود"))</f>
        <v/>
      </c>
      <c r="J55" t="str">
        <f t="shared" si="0"/>
        <v/>
      </c>
      <c r="O55" t="str">
        <f>IF(A55="","", SUMIFS(التحصيلات!$E:$E, التحصيلات!$I:$I, A55))</f>
        <v/>
      </c>
      <c r="P55" t="str">
        <f t="shared" si="1"/>
        <v/>
      </c>
      <c r="S55" t="str">
        <f>IF(A55="","", SUMIFS(جدول [2]الأقساط!$E:$E, جدول [2]الأقساط!$B:$B, A55))</f>
        <v/>
      </c>
      <c r="T55" t="str">
        <f t="shared" si="2"/>
        <v/>
      </c>
    </row>
    <row r="56" spans="3:20" x14ac:dyDescent="0.25">
      <c r="C56" t="str">
        <f>IF(B56="","",IFERROR(VLOOKUP(B56,المشاريع!$A:$B,2,FALSE),"⚠️ المشروع غير موجود"))</f>
        <v/>
      </c>
      <c r="J56" t="str">
        <f t="shared" si="0"/>
        <v/>
      </c>
      <c r="O56" t="str">
        <f>IF(A56="","", SUMIFS(التحصيلات!$E:$E, التحصيلات!$I:$I, A56))</f>
        <v/>
      </c>
      <c r="P56" t="str">
        <f t="shared" si="1"/>
        <v/>
      </c>
      <c r="S56" t="str">
        <f>IF(A56="","", SUMIFS(جدول [2]الأقساط!$E:$E, جدول [2]الأقساط!$B:$B, A56))</f>
        <v/>
      </c>
      <c r="T56" t="str">
        <f t="shared" si="2"/>
        <v/>
      </c>
    </row>
    <row r="57" spans="3:20" x14ac:dyDescent="0.25">
      <c r="C57" t="str">
        <f>IF(B57="","",IFERROR(VLOOKUP(B57,المشاريع!$A:$B,2,FALSE),"⚠️ المشروع غير موجود"))</f>
        <v/>
      </c>
      <c r="J57" t="str">
        <f t="shared" si="0"/>
        <v/>
      </c>
      <c r="O57" t="str">
        <f>IF(A57="","", SUMIFS(التحصيلات!$E:$E, التحصيلات!$I:$I, A57))</f>
        <v/>
      </c>
      <c r="P57" t="str">
        <f t="shared" si="1"/>
        <v/>
      </c>
      <c r="S57" t="str">
        <f>IF(A57="","", SUMIFS(جدول [2]الأقساط!$E:$E, جدول [2]الأقساط!$B:$B, A57))</f>
        <v/>
      </c>
      <c r="T57" t="str">
        <f t="shared" si="2"/>
        <v/>
      </c>
    </row>
    <row r="58" spans="3:20" x14ac:dyDescent="0.25">
      <c r="C58" t="str">
        <f>IF(B58="","",IFERROR(VLOOKUP(B58,المشاريع!$A:$B,2,FALSE),"⚠️ المشروع غير موجود"))</f>
        <v/>
      </c>
      <c r="J58" t="str">
        <f t="shared" si="0"/>
        <v/>
      </c>
      <c r="O58" t="str">
        <f>IF(A58="","", SUMIFS(التحصيلات!$E:$E, التحصيلات!$I:$I, A58))</f>
        <v/>
      </c>
      <c r="P58" t="str">
        <f t="shared" si="1"/>
        <v/>
      </c>
      <c r="S58" t="str">
        <f>IF(A58="","", SUMIFS(جدول [2]الأقساط!$E:$E, جدول [2]الأقساط!$B:$B, A58))</f>
        <v/>
      </c>
      <c r="T58" t="str">
        <f t="shared" si="2"/>
        <v/>
      </c>
    </row>
    <row r="59" spans="3:20" x14ac:dyDescent="0.25">
      <c r="C59" t="str">
        <f>IF(B59="","",IFERROR(VLOOKUP(B59,المشاريع!$A:$B,2,FALSE),"⚠️ المشروع غير موجود"))</f>
        <v/>
      </c>
      <c r="J59" t="str">
        <f t="shared" si="0"/>
        <v/>
      </c>
      <c r="O59" t="str">
        <f>IF(A59="","", SUMIFS(التحصيلات!$E:$E, التحصيلات!$I:$I, A59))</f>
        <v/>
      </c>
      <c r="P59" t="str">
        <f t="shared" si="1"/>
        <v/>
      </c>
      <c r="S59" t="str">
        <f>IF(A59="","", SUMIFS(جدول [2]الأقساط!$E:$E, جدول [2]الأقساط!$B:$B, A59))</f>
        <v/>
      </c>
      <c r="T59" t="str">
        <f t="shared" si="2"/>
        <v/>
      </c>
    </row>
    <row r="60" spans="3:20" x14ac:dyDescent="0.25">
      <c r="C60" t="str">
        <f>IF(B60="","",IFERROR(VLOOKUP(B60,المشاريع!$A:$B,2,FALSE),"⚠️ المشروع غير موجود"))</f>
        <v/>
      </c>
      <c r="J60" t="str">
        <f t="shared" si="0"/>
        <v/>
      </c>
      <c r="O60" t="str">
        <f>IF(A60="","", SUMIFS(التحصيلات!$E:$E, التحصيلات!$I:$I, A60))</f>
        <v/>
      </c>
      <c r="P60" t="str">
        <f t="shared" si="1"/>
        <v/>
      </c>
      <c r="S60" t="str">
        <f>IF(A60="","", SUMIFS(جدول [2]الأقساط!$E:$E, جدول [2]الأقساط!$B:$B, A60))</f>
        <v/>
      </c>
      <c r="T60" t="str">
        <f t="shared" si="2"/>
        <v/>
      </c>
    </row>
    <row r="61" spans="3:20" x14ac:dyDescent="0.25">
      <c r="C61" t="str">
        <f>IF(B61="","",IFERROR(VLOOKUP(B61,المشاريع!$A:$B,2,FALSE),"⚠️ المشروع غير موجود"))</f>
        <v/>
      </c>
      <c r="J61" t="str">
        <f t="shared" si="0"/>
        <v/>
      </c>
      <c r="O61" t="str">
        <f>IF(A61="","", SUMIFS(التحصيلات!$E:$E, التحصيلات!$I:$I, A61))</f>
        <v/>
      </c>
      <c r="P61" t="str">
        <f t="shared" si="1"/>
        <v/>
      </c>
      <c r="S61" t="str">
        <f>IF(A61="","", SUMIFS(جدول [2]الأقساط!$E:$E, جدول [2]الأقساط!$B:$B, A61))</f>
        <v/>
      </c>
      <c r="T61" t="str">
        <f t="shared" si="2"/>
        <v/>
      </c>
    </row>
    <row r="62" spans="3:20" x14ac:dyDescent="0.25">
      <c r="C62" t="str">
        <f>IF(B62="","",IFERROR(VLOOKUP(B62,المشاريع!$A:$B,2,FALSE),"⚠️ المشروع غير موجود"))</f>
        <v/>
      </c>
      <c r="J62" t="str">
        <f t="shared" si="0"/>
        <v/>
      </c>
      <c r="O62" t="str">
        <f>IF(A62="","", SUMIFS(التحصيلات!$E:$E, التحصيلات!$I:$I, A62))</f>
        <v/>
      </c>
      <c r="P62" t="str">
        <f t="shared" si="1"/>
        <v/>
      </c>
      <c r="S62" t="str">
        <f>IF(A62="","", SUMIFS(جدول [2]الأقساط!$E:$E, جدول [2]الأقساط!$B:$B, A62))</f>
        <v/>
      </c>
      <c r="T62" t="str">
        <f t="shared" si="2"/>
        <v/>
      </c>
    </row>
    <row r="63" spans="3:20" x14ac:dyDescent="0.25">
      <c r="C63" t="str">
        <f>IF(B63="","",IFERROR(VLOOKUP(B63,المشاريع!$A:$B,2,FALSE),"⚠️ المشروع غير موجود"))</f>
        <v/>
      </c>
      <c r="J63" t="str">
        <f t="shared" si="0"/>
        <v/>
      </c>
      <c r="O63" t="str">
        <f>IF(A63="","", SUMIFS(التحصيلات!$E:$E, التحصيلات!$I:$I, A63))</f>
        <v/>
      </c>
      <c r="P63" t="str">
        <f t="shared" si="1"/>
        <v/>
      </c>
      <c r="S63" t="str">
        <f>IF(A63="","", SUMIFS(جدول [2]الأقساط!$E:$E, جدول [2]الأقساط!$B:$B, A63))</f>
        <v/>
      </c>
      <c r="T63" t="str">
        <f t="shared" si="2"/>
        <v/>
      </c>
    </row>
    <row r="64" spans="3:20" x14ac:dyDescent="0.25">
      <c r="C64" t="str">
        <f>IF(B64="","",IFERROR(VLOOKUP(B64,المشاريع!$A:$B,2,FALSE),"⚠️ المشروع غير موجود"))</f>
        <v/>
      </c>
      <c r="J64" t="str">
        <f t="shared" si="0"/>
        <v/>
      </c>
      <c r="O64" t="str">
        <f>IF(A64="","", SUMIFS(التحصيلات!$E:$E, التحصيلات!$I:$I, A64))</f>
        <v/>
      </c>
      <c r="P64" t="str">
        <f t="shared" si="1"/>
        <v/>
      </c>
      <c r="S64" t="str">
        <f>IF(A64="","", SUMIFS(جدول [2]الأقساط!$E:$E, جدول [2]الأقساط!$B:$B, A64))</f>
        <v/>
      </c>
      <c r="T64" t="str">
        <f t="shared" si="2"/>
        <v/>
      </c>
    </row>
    <row r="65" spans="3:20" x14ac:dyDescent="0.25">
      <c r="C65" t="str">
        <f>IF(B65="","",IFERROR(VLOOKUP(B65,المشاريع!$A:$B,2,FALSE),"⚠️ المشروع غير موجود"))</f>
        <v/>
      </c>
      <c r="J65" t="str">
        <f t="shared" si="0"/>
        <v/>
      </c>
      <c r="O65" t="str">
        <f>IF(A65="","", SUMIFS(التحصيلات!$E:$E, التحصيلات!$I:$I, A65))</f>
        <v/>
      </c>
      <c r="P65" t="str">
        <f t="shared" si="1"/>
        <v/>
      </c>
      <c r="S65" t="str">
        <f>IF(A65="","", SUMIFS(جدول [2]الأقساط!$E:$E, جدول [2]الأقساط!$B:$B, A65))</f>
        <v/>
      </c>
      <c r="T65" t="str">
        <f t="shared" si="2"/>
        <v/>
      </c>
    </row>
    <row r="66" spans="3:20" x14ac:dyDescent="0.25">
      <c r="C66" t="str">
        <f>IF(B66="","",IFERROR(VLOOKUP(B66,المشاريع!$A:$B,2,FALSE),"⚠️ المشروع غير موجود"))</f>
        <v/>
      </c>
      <c r="J66" t="str">
        <f t="shared" si="0"/>
        <v/>
      </c>
      <c r="O66" t="str">
        <f>IF(A66="","", SUMIFS(التحصيلات!$E:$E, التحصيلات!$I:$I, A66))</f>
        <v/>
      </c>
      <c r="P66" t="str">
        <f t="shared" si="1"/>
        <v/>
      </c>
      <c r="S66" t="str">
        <f>IF(A66="","", SUMIFS(جدول [2]الأقساط!$E:$E, جدول [2]الأقساط!$B:$B, A66))</f>
        <v/>
      </c>
      <c r="T66" t="str">
        <f t="shared" si="2"/>
        <v/>
      </c>
    </row>
    <row r="67" spans="3:20" x14ac:dyDescent="0.25">
      <c r="C67" t="str">
        <f>IF(B67="","",IFERROR(VLOOKUP(B67,المشاريع!$A:$B,2,FALSE),"⚠️ المشروع غير موجود"))</f>
        <v/>
      </c>
      <c r="J67" t="str">
        <f t="shared" ref="J67:J130" si="3">IF(G67="","", G67 - IF(I67="",0,I67))</f>
        <v/>
      </c>
      <c r="O67" t="str">
        <f>IF(A67="","", SUMIFS(التحصيلات!$E:$E, التحصيلات!$I:$I, A67))</f>
        <v/>
      </c>
      <c r="P67" t="str">
        <f t="shared" ref="P67:P130" si="4">IF(G67="","", G67 - O67)</f>
        <v/>
      </c>
      <c r="S67" t="str">
        <f>IF(A67="","", SUMIFS(جدول [2]الأقساط!$E:$E, جدول [2]الأقساط!$B:$B, A67))</f>
        <v/>
      </c>
      <c r="T67" t="str">
        <f t="shared" ref="T67:T130" si="5">IF(A67="","", IF(OR(H67="تقسيط", H67="كاش + تقسيط"), IF(ROUND(ABS(S67-J67),2)&gt;0, "⚠️ جدول الأقساط غير متطابق", "سليم"), "سليم"))</f>
        <v/>
      </c>
    </row>
    <row r="68" spans="3:20" x14ac:dyDescent="0.25">
      <c r="C68" t="str">
        <f>IF(B68="","",IFERROR(VLOOKUP(B68,المشاريع!$A:$B,2,FALSE),"⚠️ المشروع غير موجود"))</f>
        <v/>
      </c>
      <c r="J68" t="str">
        <f t="shared" si="3"/>
        <v/>
      </c>
      <c r="O68" t="str">
        <f>IF(A68="","", SUMIFS(التحصيلات!$E:$E, التحصيلات!$I:$I, A68))</f>
        <v/>
      </c>
      <c r="P68" t="str">
        <f t="shared" si="4"/>
        <v/>
      </c>
      <c r="S68" t="str">
        <f>IF(A68="","", SUMIFS(جدول [2]الأقساط!$E:$E, جدول [2]الأقساط!$B:$B, A68))</f>
        <v/>
      </c>
      <c r="T68" t="str">
        <f t="shared" si="5"/>
        <v/>
      </c>
    </row>
    <row r="69" spans="3:20" x14ac:dyDescent="0.25">
      <c r="C69" t="str">
        <f>IF(B69="","",IFERROR(VLOOKUP(B69,المشاريع!$A:$B,2,FALSE),"⚠️ المشروع غير موجود"))</f>
        <v/>
      </c>
      <c r="J69" t="str">
        <f t="shared" si="3"/>
        <v/>
      </c>
      <c r="O69" t="str">
        <f>IF(A69="","", SUMIFS(التحصيلات!$E:$E, التحصيلات!$I:$I, A69))</f>
        <v/>
      </c>
      <c r="P69" t="str">
        <f t="shared" si="4"/>
        <v/>
      </c>
      <c r="S69" t="str">
        <f>IF(A69="","", SUMIFS(جدول [2]الأقساط!$E:$E, جدول [2]الأقساط!$B:$B, A69))</f>
        <v/>
      </c>
      <c r="T69" t="str">
        <f t="shared" si="5"/>
        <v/>
      </c>
    </row>
    <row r="70" spans="3:20" x14ac:dyDescent="0.25">
      <c r="C70" t="str">
        <f>IF(B70="","",IFERROR(VLOOKUP(B70,المشاريع!$A:$B,2,FALSE),"⚠️ المشروع غير موجود"))</f>
        <v/>
      </c>
      <c r="J70" t="str">
        <f t="shared" si="3"/>
        <v/>
      </c>
      <c r="O70" t="str">
        <f>IF(A70="","", SUMIFS(التحصيلات!$E:$E, التحصيلات!$I:$I, A70))</f>
        <v/>
      </c>
      <c r="P70" t="str">
        <f t="shared" si="4"/>
        <v/>
      </c>
      <c r="S70" t="str">
        <f>IF(A70="","", SUMIFS(جدول [2]الأقساط!$E:$E, جدول [2]الأقساط!$B:$B, A70))</f>
        <v/>
      </c>
      <c r="T70" t="str">
        <f t="shared" si="5"/>
        <v/>
      </c>
    </row>
    <row r="71" spans="3:20" x14ac:dyDescent="0.25">
      <c r="C71" t="str">
        <f>IF(B71="","",IFERROR(VLOOKUP(B71,المشاريع!$A:$B,2,FALSE),"⚠️ المشروع غير موجود"))</f>
        <v/>
      </c>
      <c r="J71" t="str">
        <f t="shared" si="3"/>
        <v/>
      </c>
      <c r="O71" t="str">
        <f>IF(A71="","", SUMIFS(التحصيلات!$E:$E, التحصيلات!$I:$I, A71))</f>
        <v/>
      </c>
      <c r="P71" t="str">
        <f t="shared" si="4"/>
        <v/>
      </c>
      <c r="S71" t="str">
        <f>IF(A71="","", SUMIFS(جدول [2]الأقساط!$E:$E, جدول [2]الأقساط!$B:$B, A71))</f>
        <v/>
      </c>
      <c r="T71" t="str">
        <f t="shared" si="5"/>
        <v/>
      </c>
    </row>
    <row r="72" spans="3:20" x14ac:dyDescent="0.25">
      <c r="C72" t="str">
        <f>IF(B72="","",IFERROR(VLOOKUP(B72,المشاريع!$A:$B,2,FALSE),"⚠️ المشروع غير موجود"))</f>
        <v/>
      </c>
      <c r="J72" t="str">
        <f t="shared" si="3"/>
        <v/>
      </c>
      <c r="O72" t="str">
        <f>IF(A72="","", SUMIFS(التحصيلات!$E:$E, التحصيلات!$I:$I, A72))</f>
        <v/>
      </c>
      <c r="P72" t="str">
        <f t="shared" si="4"/>
        <v/>
      </c>
      <c r="S72" t="str">
        <f>IF(A72="","", SUMIFS(جدول [2]الأقساط!$E:$E, جدول [2]الأقساط!$B:$B, A72))</f>
        <v/>
      </c>
      <c r="T72" t="str">
        <f t="shared" si="5"/>
        <v/>
      </c>
    </row>
    <row r="73" spans="3:20" x14ac:dyDescent="0.25">
      <c r="C73" t="str">
        <f>IF(B73="","",IFERROR(VLOOKUP(B73,المشاريع!$A:$B,2,FALSE),"⚠️ المشروع غير موجود"))</f>
        <v/>
      </c>
      <c r="J73" t="str">
        <f t="shared" si="3"/>
        <v/>
      </c>
      <c r="O73" t="str">
        <f>IF(A73="","", SUMIFS(التحصيلات!$E:$E, التحصيلات!$I:$I, A73))</f>
        <v/>
      </c>
      <c r="P73" t="str">
        <f t="shared" si="4"/>
        <v/>
      </c>
      <c r="S73" t="str">
        <f>IF(A73="","", SUMIFS(جدول [2]الأقساط!$E:$E, جدول [2]الأقساط!$B:$B, A73))</f>
        <v/>
      </c>
      <c r="T73" t="str">
        <f t="shared" si="5"/>
        <v/>
      </c>
    </row>
    <row r="74" spans="3:20" x14ac:dyDescent="0.25">
      <c r="C74" t="str">
        <f>IF(B74="","",IFERROR(VLOOKUP(B74,المشاريع!$A:$B,2,FALSE),"⚠️ المشروع غير موجود"))</f>
        <v/>
      </c>
      <c r="J74" t="str">
        <f t="shared" si="3"/>
        <v/>
      </c>
      <c r="O74" t="str">
        <f>IF(A74="","", SUMIFS(التحصيلات!$E:$E, التحصيلات!$I:$I, A74))</f>
        <v/>
      </c>
      <c r="P74" t="str">
        <f t="shared" si="4"/>
        <v/>
      </c>
      <c r="S74" t="str">
        <f>IF(A74="","", SUMIFS(جدول [2]الأقساط!$E:$E, جدول [2]الأقساط!$B:$B, A74))</f>
        <v/>
      </c>
      <c r="T74" t="str">
        <f t="shared" si="5"/>
        <v/>
      </c>
    </row>
    <row r="75" spans="3:20" x14ac:dyDescent="0.25">
      <c r="C75" t="str">
        <f>IF(B75="","",IFERROR(VLOOKUP(B75,المشاريع!$A:$B,2,FALSE),"⚠️ المشروع غير موجود"))</f>
        <v/>
      </c>
      <c r="J75" t="str">
        <f t="shared" si="3"/>
        <v/>
      </c>
      <c r="O75" t="str">
        <f>IF(A75="","", SUMIFS(التحصيلات!$E:$E, التحصيلات!$I:$I, A75))</f>
        <v/>
      </c>
      <c r="P75" t="str">
        <f t="shared" si="4"/>
        <v/>
      </c>
      <c r="S75" t="str">
        <f>IF(A75="","", SUMIFS(جدول [2]الأقساط!$E:$E, جدول [2]الأقساط!$B:$B, A75))</f>
        <v/>
      </c>
      <c r="T75" t="str">
        <f t="shared" si="5"/>
        <v/>
      </c>
    </row>
    <row r="76" spans="3:20" x14ac:dyDescent="0.25">
      <c r="C76" t="str">
        <f>IF(B76="","",IFERROR(VLOOKUP(B76,المشاريع!$A:$B,2,FALSE),"⚠️ المشروع غير موجود"))</f>
        <v/>
      </c>
      <c r="J76" t="str">
        <f t="shared" si="3"/>
        <v/>
      </c>
      <c r="O76" t="str">
        <f>IF(A76="","", SUMIFS(التحصيلات!$E:$E, التحصيلات!$I:$I, A76))</f>
        <v/>
      </c>
      <c r="P76" t="str">
        <f t="shared" si="4"/>
        <v/>
      </c>
      <c r="S76" t="str">
        <f>IF(A76="","", SUMIFS(جدول [2]الأقساط!$E:$E, جدول [2]الأقساط!$B:$B, A76))</f>
        <v/>
      </c>
      <c r="T76" t="str">
        <f t="shared" si="5"/>
        <v/>
      </c>
    </row>
    <row r="77" spans="3:20" x14ac:dyDescent="0.25">
      <c r="C77" t="str">
        <f>IF(B77="","",IFERROR(VLOOKUP(B77,المشاريع!$A:$B,2,FALSE),"⚠️ المشروع غير موجود"))</f>
        <v/>
      </c>
      <c r="J77" t="str">
        <f t="shared" si="3"/>
        <v/>
      </c>
      <c r="O77" t="str">
        <f>IF(A77="","", SUMIFS(التحصيلات!$E:$E, التحصيلات!$I:$I, A77))</f>
        <v/>
      </c>
      <c r="P77" t="str">
        <f t="shared" si="4"/>
        <v/>
      </c>
      <c r="S77" t="str">
        <f>IF(A77="","", SUMIFS(جدول [2]الأقساط!$E:$E, جدول [2]الأقساط!$B:$B, A77))</f>
        <v/>
      </c>
      <c r="T77" t="str">
        <f t="shared" si="5"/>
        <v/>
      </c>
    </row>
    <row r="78" spans="3:20" x14ac:dyDescent="0.25">
      <c r="C78" t="str">
        <f>IF(B78="","",IFERROR(VLOOKUP(B78,المشاريع!$A:$B,2,FALSE),"⚠️ المشروع غير موجود"))</f>
        <v/>
      </c>
      <c r="J78" t="str">
        <f t="shared" si="3"/>
        <v/>
      </c>
      <c r="O78" t="str">
        <f>IF(A78="","", SUMIFS(التحصيلات!$E:$E, التحصيلات!$I:$I, A78))</f>
        <v/>
      </c>
      <c r="P78" t="str">
        <f t="shared" si="4"/>
        <v/>
      </c>
      <c r="S78" t="str">
        <f>IF(A78="","", SUMIFS(جدول [2]الأقساط!$E:$E, جدول [2]الأقساط!$B:$B, A78))</f>
        <v/>
      </c>
      <c r="T78" t="str">
        <f t="shared" si="5"/>
        <v/>
      </c>
    </row>
    <row r="79" spans="3:20" x14ac:dyDescent="0.25">
      <c r="C79" t="str">
        <f>IF(B79="","",IFERROR(VLOOKUP(B79,المشاريع!$A:$B,2,FALSE),"⚠️ المشروع غير موجود"))</f>
        <v/>
      </c>
      <c r="J79" t="str">
        <f t="shared" si="3"/>
        <v/>
      </c>
      <c r="O79" t="str">
        <f>IF(A79="","", SUMIFS(التحصيلات!$E:$E, التحصيلات!$I:$I, A79))</f>
        <v/>
      </c>
      <c r="P79" t="str">
        <f t="shared" si="4"/>
        <v/>
      </c>
      <c r="S79" t="str">
        <f>IF(A79="","", SUMIFS(جدول [2]الأقساط!$E:$E, جدول [2]الأقساط!$B:$B, A79))</f>
        <v/>
      </c>
      <c r="T79" t="str">
        <f t="shared" si="5"/>
        <v/>
      </c>
    </row>
    <row r="80" spans="3:20" x14ac:dyDescent="0.25">
      <c r="C80" t="str">
        <f>IF(B80="","",IFERROR(VLOOKUP(B80,المشاريع!$A:$B,2,FALSE),"⚠️ المشروع غير موجود"))</f>
        <v/>
      </c>
      <c r="J80" t="str">
        <f t="shared" si="3"/>
        <v/>
      </c>
      <c r="O80" t="str">
        <f>IF(A80="","", SUMIFS(التحصيلات!$E:$E, التحصيلات!$I:$I, A80))</f>
        <v/>
      </c>
      <c r="P80" t="str">
        <f t="shared" si="4"/>
        <v/>
      </c>
      <c r="S80" t="str">
        <f>IF(A80="","", SUMIFS(جدول [2]الأقساط!$E:$E, جدول [2]الأقساط!$B:$B, A80))</f>
        <v/>
      </c>
      <c r="T80" t="str">
        <f t="shared" si="5"/>
        <v/>
      </c>
    </row>
    <row r="81" spans="3:20" x14ac:dyDescent="0.25">
      <c r="C81" t="str">
        <f>IF(B81="","",IFERROR(VLOOKUP(B81,المشاريع!$A:$B,2,FALSE),"⚠️ المشروع غير موجود"))</f>
        <v/>
      </c>
      <c r="J81" t="str">
        <f t="shared" si="3"/>
        <v/>
      </c>
      <c r="O81" t="str">
        <f>IF(A81="","", SUMIFS(التحصيلات!$E:$E, التحصيلات!$I:$I, A81))</f>
        <v/>
      </c>
      <c r="P81" t="str">
        <f t="shared" si="4"/>
        <v/>
      </c>
      <c r="S81" t="str">
        <f>IF(A81="","", SUMIFS(جدول [2]الأقساط!$E:$E, جدول [2]الأقساط!$B:$B, A81))</f>
        <v/>
      </c>
      <c r="T81" t="str">
        <f t="shared" si="5"/>
        <v/>
      </c>
    </row>
    <row r="82" spans="3:20" x14ac:dyDescent="0.25">
      <c r="C82" t="str">
        <f>IF(B82="","",IFERROR(VLOOKUP(B82,المشاريع!$A:$B,2,FALSE),"⚠️ المشروع غير موجود"))</f>
        <v/>
      </c>
      <c r="J82" t="str">
        <f t="shared" si="3"/>
        <v/>
      </c>
      <c r="O82" t="str">
        <f>IF(A82="","", SUMIFS(التحصيلات!$E:$E, التحصيلات!$I:$I, A82))</f>
        <v/>
      </c>
      <c r="P82" t="str">
        <f t="shared" si="4"/>
        <v/>
      </c>
      <c r="S82" t="str">
        <f>IF(A82="","", SUMIFS(جدول [2]الأقساط!$E:$E, جدول [2]الأقساط!$B:$B, A82))</f>
        <v/>
      </c>
      <c r="T82" t="str">
        <f t="shared" si="5"/>
        <v/>
      </c>
    </row>
    <row r="83" spans="3:20" x14ac:dyDescent="0.25">
      <c r="C83" t="str">
        <f>IF(B83="","",IFERROR(VLOOKUP(B83,المشاريع!$A:$B,2,FALSE),"⚠️ المشروع غير موجود"))</f>
        <v/>
      </c>
      <c r="J83" t="str">
        <f t="shared" si="3"/>
        <v/>
      </c>
      <c r="O83" t="str">
        <f>IF(A83="","", SUMIFS(التحصيلات!$E:$E, التحصيلات!$I:$I, A83))</f>
        <v/>
      </c>
      <c r="P83" t="str">
        <f t="shared" si="4"/>
        <v/>
      </c>
      <c r="S83" t="str">
        <f>IF(A83="","", SUMIFS(جدول [2]الأقساط!$E:$E, جدول [2]الأقساط!$B:$B, A83))</f>
        <v/>
      </c>
      <c r="T83" t="str">
        <f t="shared" si="5"/>
        <v/>
      </c>
    </row>
    <row r="84" spans="3:20" x14ac:dyDescent="0.25">
      <c r="C84" t="str">
        <f>IF(B84="","",IFERROR(VLOOKUP(B84,المشاريع!$A:$B,2,FALSE),"⚠️ المشروع غير موجود"))</f>
        <v/>
      </c>
      <c r="J84" t="str">
        <f t="shared" si="3"/>
        <v/>
      </c>
      <c r="O84" t="str">
        <f>IF(A84="","", SUMIFS(التحصيلات!$E:$E, التحصيلات!$I:$I, A84))</f>
        <v/>
      </c>
      <c r="P84" t="str">
        <f t="shared" si="4"/>
        <v/>
      </c>
      <c r="S84" t="str">
        <f>IF(A84="","", SUMIFS(جدول [2]الأقساط!$E:$E, جدول [2]الأقساط!$B:$B, A84))</f>
        <v/>
      </c>
      <c r="T84" t="str">
        <f t="shared" si="5"/>
        <v/>
      </c>
    </row>
    <row r="85" spans="3:20" x14ac:dyDescent="0.25">
      <c r="C85" t="str">
        <f>IF(B85="","",IFERROR(VLOOKUP(B85,المشاريع!$A:$B,2,FALSE),"⚠️ المشروع غير موجود"))</f>
        <v/>
      </c>
      <c r="J85" t="str">
        <f t="shared" si="3"/>
        <v/>
      </c>
      <c r="O85" t="str">
        <f>IF(A85="","", SUMIFS(التحصيلات!$E:$E, التحصيلات!$I:$I, A85))</f>
        <v/>
      </c>
      <c r="P85" t="str">
        <f t="shared" si="4"/>
        <v/>
      </c>
      <c r="S85" t="str">
        <f>IF(A85="","", SUMIFS(جدول [2]الأقساط!$E:$E, جدول [2]الأقساط!$B:$B, A85))</f>
        <v/>
      </c>
      <c r="T85" t="str">
        <f t="shared" si="5"/>
        <v/>
      </c>
    </row>
    <row r="86" spans="3:20" x14ac:dyDescent="0.25">
      <c r="C86" t="str">
        <f>IF(B86="","",IFERROR(VLOOKUP(B86,المشاريع!$A:$B,2,FALSE),"⚠️ المشروع غير موجود"))</f>
        <v/>
      </c>
      <c r="J86" t="str">
        <f t="shared" si="3"/>
        <v/>
      </c>
      <c r="O86" t="str">
        <f>IF(A86="","", SUMIFS(التحصيلات!$E:$E, التحصيلات!$I:$I, A86))</f>
        <v/>
      </c>
      <c r="P86" t="str">
        <f t="shared" si="4"/>
        <v/>
      </c>
      <c r="S86" t="str">
        <f>IF(A86="","", SUMIFS(جدول [2]الأقساط!$E:$E, جدول [2]الأقساط!$B:$B, A86))</f>
        <v/>
      </c>
      <c r="T86" t="str">
        <f t="shared" si="5"/>
        <v/>
      </c>
    </row>
    <row r="87" spans="3:20" x14ac:dyDescent="0.25">
      <c r="C87" t="str">
        <f>IF(B87="","",IFERROR(VLOOKUP(B87,المشاريع!$A:$B,2,FALSE),"⚠️ المشروع غير موجود"))</f>
        <v/>
      </c>
      <c r="J87" t="str">
        <f t="shared" si="3"/>
        <v/>
      </c>
      <c r="O87" t="str">
        <f>IF(A87="","", SUMIFS(التحصيلات!$E:$E, التحصيلات!$I:$I, A87))</f>
        <v/>
      </c>
      <c r="P87" t="str">
        <f t="shared" si="4"/>
        <v/>
      </c>
      <c r="S87" t="str">
        <f>IF(A87="","", SUMIFS(جدول [2]الأقساط!$E:$E, جدول [2]الأقساط!$B:$B, A87))</f>
        <v/>
      </c>
      <c r="T87" t="str">
        <f t="shared" si="5"/>
        <v/>
      </c>
    </row>
    <row r="88" spans="3:20" x14ac:dyDescent="0.25">
      <c r="C88" t="str">
        <f>IF(B88="","",IFERROR(VLOOKUP(B88,المشاريع!$A:$B,2,FALSE),"⚠️ المشروع غير موجود"))</f>
        <v/>
      </c>
      <c r="J88" t="str">
        <f t="shared" si="3"/>
        <v/>
      </c>
      <c r="O88" t="str">
        <f>IF(A88="","", SUMIFS(التحصيلات!$E:$E, التحصيلات!$I:$I, A88))</f>
        <v/>
      </c>
      <c r="P88" t="str">
        <f t="shared" si="4"/>
        <v/>
      </c>
      <c r="S88" t="str">
        <f>IF(A88="","", SUMIFS(جدول [2]الأقساط!$E:$E, جدول [2]الأقساط!$B:$B, A88))</f>
        <v/>
      </c>
      <c r="T88" t="str">
        <f t="shared" si="5"/>
        <v/>
      </c>
    </row>
    <row r="89" spans="3:20" x14ac:dyDescent="0.25">
      <c r="C89" t="str">
        <f>IF(B89="","",IFERROR(VLOOKUP(B89,المشاريع!$A:$B,2,FALSE),"⚠️ المشروع غير موجود"))</f>
        <v/>
      </c>
      <c r="J89" t="str">
        <f t="shared" si="3"/>
        <v/>
      </c>
      <c r="O89" t="str">
        <f>IF(A89="","", SUMIFS(التحصيلات!$E:$E, التحصيلات!$I:$I, A89))</f>
        <v/>
      </c>
      <c r="P89" t="str">
        <f t="shared" si="4"/>
        <v/>
      </c>
      <c r="S89" t="str">
        <f>IF(A89="","", SUMIFS(جدول [2]الأقساط!$E:$E, جدول [2]الأقساط!$B:$B, A89))</f>
        <v/>
      </c>
      <c r="T89" t="str">
        <f t="shared" si="5"/>
        <v/>
      </c>
    </row>
    <row r="90" spans="3:20" x14ac:dyDescent="0.25">
      <c r="C90" t="str">
        <f>IF(B90="","",IFERROR(VLOOKUP(B90,المشاريع!$A:$B,2,FALSE),"⚠️ المشروع غير موجود"))</f>
        <v/>
      </c>
      <c r="J90" t="str">
        <f t="shared" si="3"/>
        <v/>
      </c>
      <c r="O90" t="str">
        <f>IF(A90="","", SUMIFS(التحصيلات!$E:$E, التحصيلات!$I:$I, A90))</f>
        <v/>
      </c>
      <c r="P90" t="str">
        <f t="shared" si="4"/>
        <v/>
      </c>
      <c r="S90" t="str">
        <f>IF(A90="","", SUMIFS(جدول [2]الأقساط!$E:$E, جدول [2]الأقساط!$B:$B, A90))</f>
        <v/>
      </c>
      <c r="T90" t="str">
        <f t="shared" si="5"/>
        <v/>
      </c>
    </row>
    <row r="91" spans="3:20" x14ac:dyDescent="0.25">
      <c r="C91" t="str">
        <f>IF(B91="","",IFERROR(VLOOKUP(B91,المشاريع!$A:$B,2,FALSE),"⚠️ المشروع غير موجود"))</f>
        <v/>
      </c>
      <c r="J91" t="str">
        <f t="shared" si="3"/>
        <v/>
      </c>
      <c r="O91" t="str">
        <f>IF(A91="","", SUMIFS(التحصيلات!$E:$E, التحصيلات!$I:$I, A91))</f>
        <v/>
      </c>
      <c r="P91" t="str">
        <f t="shared" si="4"/>
        <v/>
      </c>
      <c r="S91" t="str">
        <f>IF(A91="","", SUMIFS(جدول [2]الأقساط!$E:$E, جدول [2]الأقساط!$B:$B, A91))</f>
        <v/>
      </c>
      <c r="T91" t="str">
        <f t="shared" si="5"/>
        <v/>
      </c>
    </row>
    <row r="92" spans="3:20" x14ac:dyDescent="0.25">
      <c r="C92" t="str">
        <f>IF(B92="","",IFERROR(VLOOKUP(B92,المشاريع!$A:$B,2,FALSE),"⚠️ المشروع غير موجود"))</f>
        <v/>
      </c>
      <c r="J92" t="str">
        <f t="shared" si="3"/>
        <v/>
      </c>
      <c r="O92" t="str">
        <f>IF(A92="","", SUMIFS(التحصيلات!$E:$E, التحصيلات!$I:$I, A92))</f>
        <v/>
      </c>
      <c r="P92" t="str">
        <f t="shared" si="4"/>
        <v/>
      </c>
      <c r="S92" t="str">
        <f>IF(A92="","", SUMIFS(جدول [2]الأقساط!$E:$E, جدول [2]الأقساط!$B:$B, A92))</f>
        <v/>
      </c>
      <c r="T92" t="str">
        <f t="shared" si="5"/>
        <v/>
      </c>
    </row>
    <row r="93" spans="3:20" x14ac:dyDescent="0.25">
      <c r="C93" t="str">
        <f>IF(B93="","",IFERROR(VLOOKUP(B93,المشاريع!$A:$B,2,FALSE),"⚠️ المشروع غير موجود"))</f>
        <v/>
      </c>
      <c r="J93" t="str">
        <f t="shared" si="3"/>
        <v/>
      </c>
      <c r="O93" t="str">
        <f>IF(A93="","", SUMIFS(التحصيلات!$E:$E, التحصيلات!$I:$I, A93))</f>
        <v/>
      </c>
      <c r="P93" t="str">
        <f t="shared" si="4"/>
        <v/>
      </c>
      <c r="S93" t="str">
        <f>IF(A93="","", SUMIFS(جدول [2]الأقساط!$E:$E, جدول [2]الأقساط!$B:$B, A93))</f>
        <v/>
      </c>
      <c r="T93" t="str">
        <f t="shared" si="5"/>
        <v/>
      </c>
    </row>
    <row r="94" spans="3:20" x14ac:dyDescent="0.25">
      <c r="C94" t="str">
        <f>IF(B94="","",IFERROR(VLOOKUP(B94,المشاريع!$A:$B,2,FALSE),"⚠️ المشروع غير موجود"))</f>
        <v/>
      </c>
      <c r="J94" t="str">
        <f t="shared" si="3"/>
        <v/>
      </c>
      <c r="O94" t="str">
        <f>IF(A94="","", SUMIFS(التحصيلات!$E:$E, التحصيلات!$I:$I, A94))</f>
        <v/>
      </c>
      <c r="P94" t="str">
        <f t="shared" si="4"/>
        <v/>
      </c>
      <c r="S94" t="str">
        <f>IF(A94="","", SUMIFS(جدول [2]الأقساط!$E:$E, جدول [2]الأقساط!$B:$B, A94))</f>
        <v/>
      </c>
      <c r="T94" t="str">
        <f t="shared" si="5"/>
        <v/>
      </c>
    </row>
    <row r="95" spans="3:20" x14ac:dyDescent="0.25">
      <c r="C95" t="str">
        <f>IF(B95="","",IFERROR(VLOOKUP(B95,المشاريع!$A:$B,2,FALSE),"⚠️ المشروع غير موجود"))</f>
        <v/>
      </c>
      <c r="J95" t="str">
        <f t="shared" si="3"/>
        <v/>
      </c>
      <c r="O95" t="str">
        <f>IF(A95="","", SUMIFS(التحصيلات!$E:$E, التحصيلات!$I:$I, A95))</f>
        <v/>
      </c>
      <c r="P95" t="str">
        <f t="shared" si="4"/>
        <v/>
      </c>
      <c r="S95" t="str">
        <f>IF(A95="","", SUMIFS(جدول [2]الأقساط!$E:$E, جدول [2]الأقساط!$B:$B, A95))</f>
        <v/>
      </c>
      <c r="T95" t="str">
        <f t="shared" si="5"/>
        <v/>
      </c>
    </row>
    <row r="96" spans="3:20" x14ac:dyDescent="0.25">
      <c r="C96" t="str">
        <f>IF(B96="","",IFERROR(VLOOKUP(B96,المشاريع!$A:$B,2,FALSE),"⚠️ المشروع غير موجود"))</f>
        <v/>
      </c>
      <c r="J96" t="str">
        <f t="shared" si="3"/>
        <v/>
      </c>
      <c r="O96" t="str">
        <f>IF(A96="","", SUMIFS(التحصيلات!$E:$E, التحصيلات!$I:$I, A96))</f>
        <v/>
      </c>
      <c r="P96" t="str">
        <f t="shared" si="4"/>
        <v/>
      </c>
      <c r="S96" t="str">
        <f>IF(A96="","", SUMIFS(جدول [2]الأقساط!$E:$E, جدول [2]الأقساط!$B:$B, A96))</f>
        <v/>
      </c>
      <c r="T96" t="str">
        <f t="shared" si="5"/>
        <v/>
      </c>
    </row>
    <row r="97" spans="3:20" x14ac:dyDescent="0.25">
      <c r="C97" t="str">
        <f>IF(B97="","",IFERROR(VLOOKUP(B97,المشاريع!$A:$B,2,FALSE),"⚠️ المشروع غير موجود"))</f>
        <v/>
      </c>
      <c r="J97" t="str">
        <f t="shared" si="3"/>
        <v/>
      </c>
      <c r="O97" t="str">
        <f>IF(A97="","", SUMIFS(التحصيلات!$E:$E, التحصيلات!$I:$I, A97))</f>
        <v/>
      </c>
      <c r="P97" t="str">
        <f t="shared" si="4"/>
        <v/>
      </c>
      <c r="S97" t="str">
        <f>IF(A97="","", SUMIFS(جدول [2]الأقساط!$E:$E, جدول [2]الأقساط!$B:$B, A97))</f>
        <v/>
      </c>
      <c r="T97" t="str">
        <f t="shared" si="5"/>
        <v/>
      </c>
    </row>
    <row r="98" spans="3:20" x14ac:dyDescent="0.25">
      <c r="C98" t="str">
        <f>IF(B98="","",IFERROR(VLOOKUP(B98,المشاريع!$A:$B,2,FALSE),"⚠️ المشروع غير موجود"))</f>
        <v/>
      </c>
      <c r="J98" t="str">
        <f t="shared" si="3"/>
        <v/>
      </c>
      <c r="O98" t="str">
        <f>IF(A98="","", SUMIFS(التحصيلات!$E:$E, التحصيلات!$I:$I, A98))</f>
        <v/>
      </c>
      <c r="P98" t="str">
        <f t="shared" si="4"/>
        <v/>
      </c>
      <c r="S98" t="str">
        <f>IF(A98="","", SUMIFS(جدول [2]الأقساط!$E:$E, جدول [2]الأقساط!$B:$B, A98))</f>
        <v/>
      </c>
      <c r="T98" t="str">
        <f t="shared" si="5"/>
        <v/>
      </c>
    </row>
    <row r="99" spans="3:20" x14ac:dyDescent="0.25">
      <c r="C99" t="str">
        <f>IF(B99="","",IFERROR(VLOOKUP(B99,المشاريع!$A:$B,2,FALSE),"⚠️ المشروع غير موجود"))</f>
        <v/>
      </c>
      <c r="J99" t="str">
        <f t="shared" si="3"/>
        <v/>
      </c>
      <c r="O99" t="str">
        <f>IF(A99="","", SUMIFS(التحصيلات!$E:$E, التحصيلات!$I:$I, A99))</f>
        <v/>
      </c>
      <c r="P99" t="str">
        <f t="shared" si="4"/>
        <v/>
      </c>
      <c r="S99" t="str">
        <f>IF(A99="","", SUMIFS(جدول [2]الأقساط!$E:$E, جدول [2]الأقساط!$B:$B, A99))</f>
        <v/>
      </c>
      <c r="T99" t="str">
        <f t="shared" si="5"/>
        <v/>
      </c>
    </row>
    <row r="100" spans="3:20" x14ac:dyDescent="0.25">
      <c r="C100" t="str">
        <f>IF(B100="","",IFERROR(VLOOKUP(B100,المشاريع!$A:$B,2,FALSE),"⚠️ المشروع غير موجود"))</f>
        <v/>
      </c>
      <c r="J100" t="str">
        <f t="shared" si="3"/>
        <v/>
      </c>
      <c r="O100" t="str">
        <f>IF(A100="","", SUMIFS(التحصيلات!$E:$E, التحصيلات!$I:$I, A100))</f>
        <v/>
      </c>
      <c r="P100" t="str">
        <f t="shared" si="4"/>
        <v/>
      </c>
      <c r="S100" t="str">
        <f>IF(A100="","", SUMIFS(جدول [2]الأقساط!$E:$E, جدول [2]الأقساط!$B:$B, A100))</f>
        <v/>
      </c>
      <c r="T100" t="str">
        <f t="shared" si="5"/>
        <v/>
      </c>
    </row>
    <row r="101" spans="3:20" x14ac:dyDescent="0.25">
      <c r="C101" t="str">
        <f>IF(B101="","",IFERROR(VLOOKUP(B101,المشاريع!$A:$B,2,FALSE),"⚠️ المشروع غير موجود"))</f>
        <v/>
      </c>
      <c r="J101" t="str">
        <f t="shared" si="3"/>
        <v/>
      </c>
      <c r="O101" t="str">
        <f>IF(A101="","", SUMIFS(التحصيلات!$E:$E, التحصيلات!$I:$I, A101))</f>
        <v/>
      </c>
      <c r="P101" t="str">
        <f t="shared" si="4"/>
        <v/>
      </c>
      <c r="S101" t="str">
        <f>IF(A101="","", SUMIFS(جدول [2]الأقساط!$E:$E, جدول [2]الأقساط!$B:$B, A101))</f>
        <v/>
      </c>
      <c r="T101" t="str">
        <f t="shared" si="5"/>
        <v/>
      </c>
    </row>
    <row r="102" spans="3:20" x14ac:dyDescent="0.25">
      <c r="C102" t="str">
        <f>IF(B102="","",IFERROR(VLOOKUP(B102,المشاريع!$A:$B,2,FALSE),"⚠️ المشروع غير موجود"))</f>
        <v/>
      </c>
      <c r="J102" t="str">
        <f t="shared" si="3"/>
        <v/>
      </c>
      <c r="O102" t="str">
        <f>IF(A102="","", SUMIFS(التحصيلات!$E:$E, التحصيلات!$I:$I, A102))</f>
        <v/>
      </c>
      <c r="P102" t="str">
        <f t="shared" si="4"/>
        <v/>
      </c>
      <c r="S102" t="str">
        <f>IF(A102="","", SUMIFS(جدول [2]الأقساط!$E:$E, جدول [2]الأقساط!$B:$B, A102))</f>
        <v/>
      </c>
      <c r="T102" t="str">
        <f t="shared" si="5"/>
        <v/>
      </c>
    </row>
    <row r="103" spans="3:20" x14ac:dyDescent="0.25">
      <c r="C103" t="str">
        <f>IF(B103="","",IFERROR(VLOOKUP(B103,المشاريع!$A:$B,2,FALSE),"⚠️ المشروع غير موجود"))</f>
        <v/>
      </c>
      <c r="J103" t="str">
        <f t="shared" si="3"/>
        <v/>
      </c>
      <c r="O103" t="str">
        <f>IF(A103="","", SUMIFS(التحصيلات!$E:$E, التحصيلات!$I:$I, A103))</f>
        <v/>
      </c>
      <c r="P103" t="str">
        <f t="shared" si="4"/>
        <v/>
      </c>
      <c r="S103" t="str">
        <f>IF(A103="","", SUMIFS(جدول [2]الأقساط!$E:$E, جدول [2]الأقساط!$B:$B, A103))</f>
        <v/>
      </c>
      <c r="T103" t="str">
        <f t="shared" si="5"/>
        <v/>
      </c>
    </row>
    <row r="104" spans="3:20" x14ac:dyDescent="0.25">
      <c r="C104" t="str">
        <f>IF(B104="","",IFERROR(VLOOKUP(B104,المشاريع!$A:$B,2,FALSE),"⚠️ المشروع غير موجود"))</f>
        <v/>
      </c>
      <c r="J104" t="str">
        <f t="shared" si="3"/>
        <v/>
      </c>
      <c r="O104" t="str">
        <f>IF(A104="","", SUMIFS(التحصيلات!$E:$E, التحصيلات!$I:$I, A104))</f>
        <v/>
      </c>
      <c r="P104" t="str">
        <f t="shared" si="4"/>
        <v/>
      </c>
      <c r="S104" t="str">
        <f>IF(A104="","", SUMIFS(جدول [2]الأقساط!$E:$E, جدول [2]الأقساط!$B:$B, A104))</f>
        <v/>
      </c>
      <c r="T104" t="str">
        <f t="shared" si="5"/>
        <v/>
      </c>
    </row>
    <row r="105" spans="3:20" x14ac:dyDescent="0.25">
      <c r="C105" t="str">
        <f>IF(B105="","",IFERROR(VLOOKUP(B105,المشاريع!$A:$B,2,FALSE),"⚠️ المشروع غير موجود"))</f>
        <v/>
      </c>
      <c r="J105" t="str">
        <f t="shared" si="3"/>
        <v/>
      </c>
      <c r="O105" t="str">
        <f>IF(A105="","", SUMIFS(التحصيلات!$E:$E, التحصيلات!$I:$I, A105))</f>
        <v/>
      </c>
      <c r="P105" t="str">
        <f t="shared" si="4"/>
        <v/>
      </c>
      <c r="S105" t="str">
        <f>IF(A105="","", SUMIFS(جدول [2]الأقساط!$E:$E, جدول [2]الأقساط!$B:$B, A105))</f>
        <v/>
      </c>
      <c r="T105" t="str">
        <f t="shared" si="5"/>
        <v/>
      </c>
    </row>
    <row r="106" spans="3:20" x14ac:dyDescent="0.25">
      <c r="C106" t="str">
        <f>IF(B106="","",IFERROR(VLOOKUP(B106,المشاريع!$A:$B,2,FALSE),"⚠️ المشروع غير موجود"))</f>
        <v/>
      </c>
      <c r="J106" t="str">
        <f t="shared" si="3"/>
        <v/>
      </c>
      <c r="O106" t="str">
        <f>IF(A106="","", SUMIFS(التحصيلات!$E:$E, التحصيلات!$I:$I, A106))</f>
        <v/>
      </c>
      <c r="P106" t="str">
        <f t="shared" si="4"/>
        <v/>
      </c>
      <c r="S106" t="str">
        <f>IF(A106="","", SUMIFS(جدول [2]الأقساط!$E:$E, جدول [2]الأقساط!$B:$B, A106))</f>
        <v/>
      </c>
      <c r="T106" t="str">
        <f t="shared" si="5"/>
        <v/>
      </c>
    </row>
    <row r="107" spans="3:20" x14ac:dyDescent="0.25">
      <c r="C107" t="str">
        <f>IF(B107="","",IFERROR(VLOOKUP(B107,المشاريع!$A:$B,2,FALSE),"⚠️ المشروع غير موجود"))</f>
        <v/>
      </c>
      <c r="J107" t="str">
        <f t="shared" si="3"/>
        <v/>
      </c>
      <c r="O107" t="str">
        <f>IF(A107="","", SUMIFS(التحصيلات!$E:$E, التحصيلات!$I:$I, A107))</f>
        <v/>
      </c>
      <c r="P107" t="str">
        <f t="shared" si="4"/>
        <v/>
      </c>
      <c r="S107" t="str">
        <f>IF(A107="","", SUMIFS(جدول [2]الأقساط!$E:$E, جدول [2]الأقساط!$B:$B, A107))</f>
        <v/>
      </c>
      <c r="T107" t="str">
        <f t="shared" si="5"/>
        <v/>
      </c>
    </row>
    <row r="108" spans="3:20" x14ac:dyDescent="0.25">
      <c r="C108" t="str">
        <f>IF(B108="","",IFERROR(VLOOKUP(B108,المشاريع!$A:$B,2,FALSE),"⚠️ المشروع غير موجود"))</f>
        <v/>
      </c>
      <c r="J108" t="str">
        <f t="shared" si="3"/>
        <v/>
      </c>
      <c r="O108" t="str">
        <f>IF(A108="","", SUMIFS(التحصيلات!$E:$E, التحصيلات!$I:$I, A108))</f>
        <v/>
      </c>
      <c r="P108" t="str">
        <f t="shared" si="4"/>
        <v/>
      </c>
      <c r="S108" t="str">
        <f>IF(A108="","", SUMIFS(جدول [2]الأقساط!$E:$E, جدول [2]الأقساط!$B:$B, A108))</f>
        <v/>
      </c>
      <c r="T108" t="str">
        <f t="shared" si="5"/>
        <v/>
      </c>
    </row>
    <row r="109" spans="3:20" x14ac:dyDescent="0.25">
      <c r="C109" t="str">
        <f>IF(B109="","",IFERROR(VLOOKUP(B109,المشاريع!$A:$B,2,FALSE),"⚠️ المشروع غير موجود"))</f>
        <v/>
      </c>
      <c r="J109" t="str">
        <f t="shared" si="3"/>
        <v/>
      </c>
      <c r="O109" t="str">
        <f>IF(A109="","", SUMIFS(التحصيلات!$E:$E, التحصيلات!$I:$I, A109))</f>
        <v/>
      </c>
      <c r="P109" t="str">
        <f t="shared" si="4"/>
        <v/>
      </c>
      <c r="S109" t="str">
        <f>IF(A109="","", SUMIFS(جدول [2]الأقساط!$E:$E, جدول [2]الأقساط!$B:$B, A109))</f>
        <v/>
      </c>
      <c r="T109" t="str">
        <f t="shared" si="5"/>
        <v/>
      </c>
    </row>
    <row r="110" spans="3:20" x14ac:dyDescent="0.25">
      <c r="C110" t="str">
        <f>IF(B110="","",IFERROR(VLOOKUP(B110,المشاريع!$A:$B,2,FALSE),"⚠️ المشروع غير موجود"))</f>
        <v/>
      </c>
      <c r="J110" t="str">
        <f t="shared" si="3"/>
        <v/>
      </c>
      <c r="O110" t="str">
        <f>IF(A110="","", SUMIFS(التحصيلات!$E:$E, التحصيلات!$I:$I, A110))</f>
        <v/>
      </c>
      <c r="P110" t="str">
        <f t="shared" si="4"/>
        <v/>
      </c>
      <c r="S110" t="str">
        <f>IF(A110="","", SUMIFS(جدول [2]الأقساط!$E:$E, جدول [2]الأقساط!$B:$B, A110))</f>
        <v/>
      </c>
      <c r="T110" t="str">
        <f t="shared" si="5"/>
        <v/>
      </c>
    </row>
    <row r="111" spans="3:20" x14ac:dyDescent="0.25">
      <c r="C111" t="str">
        <f>IF(B111="","",IFERROR(VLOOKUP(B111,المشاريع!$A:$B,2,FALSE),"⚠️ المشروع غير موجود"))</f>
        <v/>
      </c>
      <c r="J111" t="str">
        <f t="shared" si="3"/>
        <v/>
      </c>
      <c r="O111" t="str">
        <f>IF(A111="","", SUMIFS(التحصيلات!$E:$E, التحصيلات!$I:$I, A111))</f>
        <v/>
      </c>
      <c r="P111" t="str">
        <f t="shared" si="4"/>
        <v/>
      </c>
      <c r="S111" t="str">
        <f>IF(A111="","", SUMIFS(جدول [2]الأقساط!$E:$E, جدول [2]الأقساط!$B:$B, A111))</f>
        <v/>
      </c>
      <c r="T111" t="str">
        <f t="shared" si="5"/>
        <v/>
      </c>
    </row>
    <row r="112" spans="3:20" x14ac:dyDescent="0.25">
      <c r="C112" t="str">
        <f>IF(B112="","",IFERROR(VLOOKUP(B112,المشاريع!$A:$B,2,FALSE),"⚠️ المشروع غير موجود"))</f>
        <v/>
      </c>
      <c r="J112" t="str">
        <f t="shared" si="3"/>
        <v/>
      </c>
      <c r="O112" t="str">
        <f>IF(A112="","", SUMIFS(التحصيلات!$E:$E, التحصيلات!$I:$I, A112))</f>
        <v/>
      </c>
      <c r="P112" t="str">
        <f t="shared" si="4"/>
        <v/>
      </c>
      <c r="S112" t="str">
        <f>IF(A112="","", SUMIFS(جدول [2]الأقساط!$E:$E, جدول [2]الأقساط!$B:$B, A112))</f>
        <v/>
      </c>
      <c r="T112" t="str">
        <f t="shared" si="5"/>
        <v/>
      </c>
    </row>
    <row r="113" spans="3:20" x14ac:dyDescent="0.25">
      <c r="C113" t="str">
        <f>IF(B113="","",IFERROR(VLOOKUP(B113,المشاريع!$A:$B,2,FALSE),"⚠️ المشروع غير موجود"))</f>
        <v/>
      </c>
      <c r="J113" t="str">
        <f t="shared" si="3"/>
        <v/>
      </c>
      <c r="O113" t="str">
        <f>IF(A113="","", SUMIFS(التحصيلات!$E:$E, التحصيلات!$I:$I, A113))</f>
        <v/>
      </c>
      <c r="P113" t="str">
        <f t="shared" si="4"/>
        <v/>
      </c>
      <c r="S113" t="str">
        <f>IF(A113="","", SUMIFS(جدول [2]الأقساط!$E:$E, جدول [2]الأقساط!$B:$B, A113))</f>
        <v/>
      </c>
      <c r="T113" t="str">
        <f t="shared" si="5"/>
        <v/>
      </c>
    </row>
    <row r="114" spans="3:20" x14ac:dyDescent="0.25">
      <c r="C114" t="str">
        <f>IF(B114="","",IFERROR(VLOOKUP(B114,المشاريع!$A:$B,2,FALSE),"⚠️ المشروع غير موجود"))</f>
        <v/>
      </c>
      <c r="J114" t="str">
        <f t="shared" si="3"/>
        <v/>
      </c>
      <c r="O114" t="str">
        <f>IF(A114="","", SUMIFS(التحصيلات!$E:$E, التحصيلات!$I:$I, A114))</f>
        <v/>
      </c>
      <c r="P114" t="str">
        <f t="shared" si="4"/>
        <v/>
      </c>
      <c r="S114" t="str">
        <f>IF(A114="","", SUMIFS(جدول [2]الأقساط!$E:$E, جدول [2]الأقساط!$B:$B, A114))</f>
        <v/>
      </c>
      <c r="T114" t="str">
        <f t="shared" si="5"/>
        <v/>
      </c>
    </row>
    <row r="115" spans="3:20" x14ac:dyDescent="0.25">
      <c r="C115" t="str">
        <f>IF(B115="","",IFERROR(VLOOKUP(B115,المشاريع!$A:$B,2,FALSE),"⚠️ المشروع غير موجود"))</f>
        <v/>
      </c>
      <c r="J115" t="str">
        <f t="shared" si="3"/>
        <v/>
      </c>
      <c r="O115" t="str">
        <f>IF(A115="","", SUMIFS(التحصيلات!$E:$E, التحصيلات!$I:$I, A115))</f>
        <v/>
      </c>
      <c r="P115" t="str">
        <f t="shared" si="4"/>
        <v/>
      </c>
      <c r="S115" t="str">
        <f>IF(A115="","", SUMIFS(جدول [2]الأقساط!$E:$E, جدول [2]الأقساط!$B:$B, A115))</f>
        <v/>
      </c>
      <c r="T115" t="str">
        <f t="shared" si="5"/>
        <v/>
      </c>
    </row>
    <row r="116" spans="3:20" x14ac:dyDescent="0.25">
      <c r="C116" t="str">
        <f>IF(B116="","",IFERROR(VLOOKUP(B116,المشاريع!$A:$B,2,FALSE),"⚠️ المشروع غير موجود"))</f>
        <v/>
      </c>
      <c r="J116" t="str">
        <f t="shared" si="3"/>
        <v/>
      </c>
      <c r="O116" t="str">
        <f>IF(A116="","", SUMIFS(التحصيلات!$E:$E, التحصيلات!$I:$I, A116))</f>
        <v/>
      </c>
      <c r="P116" t="str">
        <f t="shared" si="4"/>
        <v/>
      </c>
      <c r="S116" t="str">
        <f>IF(A116="","", SUMIFS(جدول [2]الأقساط!$E:$E, جدول [2]الأقساط!$B:$B, A116))</f>
        <v/>
      </c>
      <c r="T116" t="str">
        <f t="shared" si="5"/>
        <v/>
      </c>
    </row>
    <row r="117" spans="3:20" x14ac:dyDescent="0.25">
      <c r="C117" t="str">
        <f>IF(B117="","",IFERROR(VLOOKUP(B117,المشاريع!$A:$B,2,FALSE),"⚠️ المشروع غير موجود"))</f>
        <v/>
      </c>
      <c r="J117" t="str">
        <f t="shared" si="3"/>
        <v/>
      </c>
      <c r="O117" t="str">
        <f>IF(A117="","", SUMIFS(التحصيلات!$E:$E, التحصيلات!$I:$I, A117))</f>
        <v/>
      </c>
      <c r="P117" t="str">
        <f t="shared" si="4"/>
        <v/>
      </c>
      <c r="S117" t="str">
        <f>IF(A117="","", SUMIFS(جدول [2]الأقساط!$E:$E, جدول [2]الأقساط!$B:$B, A117))</f>
        <v/>
      </c>
      <c r="T117" t="str">
        <f t="shared" si="5"/>
        <v/>
      </c>
    </row>
    <row r="118" spans="3:20" x14ac:dyDescent="0.25">
      <c r="C118" t="str">
        <f>IF(B118="","",IFERROR(VLOOKUP(B118,المشاريع!$A:$B,2,FALSE),"⚠️ المشروع غير موجود"))</f>
        <v/>
      </c>
      <c r="J118" t="str">
        <f t="shared" si="3"/>
        <v/>
      </c>
      <c r="O118" t="str">
        <f>IF(A118="","", SUMIFS(التحصيلات!$E:$E, التحصيلات!$I:$I, A118))</f>
        <v/>
      </c>
      <c r="P118" t="str">
        <f t="shared" si="4"/>
        <v/>
      </c>
      <c r="S118" t="str">
        <f>IF(A118="","", SUMIFS(جدول [2]الأقساط!$E:$E, جدول [2]الأقساط!$B:$B, A118))</f>
        <v/>
      </c>
      <c r="T118" t="str">
        <f t="shared" si="5"/>
        <v/>
      </c>
    </row>
    <row r="119" spans="3:20" x14ac:dyDescent="0.25">
      <c r="C119" t="str">
        <f>IF(B119="","",IFERROR(VLOOKUP(B119,المشاريع!$A:$B,2,FALSE),"⚠️ المشروع غير موجود"))</f>
        <v/>
      </c>
      <c r="J119" t="str">
        <f t="shared" si="3"/>
        <v/>
      </c>
      <c r="O119" t="str">
        <f>IF(A119="","", SUMIFS(التحصيلات!$E:$E, التحصيلات!$I:$I, A119))</f>
        <v/>
      </c>
      <c r="P119" t="str">
        <f t="shared" si="4"/>
        <v/>
      </c>
      <c r="S119" t="str">
        <f>IF(A119="","", SUMIFS(جدول [2]الأقساط!$E:$E, جدول [2]الأقساط!$B:$B, A119))</f>
        <v/>
      </c>
      <c r="T119" t="str">
        <f t="shared" si="5"/>
        <v/>
      </c>
    </row>
    <row r="120" spans="3:20" x14ac:dyDescent="0.25">
      <c r="C120" t="str">
        <f>IF(B120="","",IFERROR(VLOOKUP(B120,المشاريع!$A:$B,2,FALSE),"⚠️ المشروع غير موجود"))</f>
        <v/>
      </c>
      <c r="J120" t="str">
        <f t="shared" si="3"/>
        <v/>
      </c>
      <c r="O120" t="str">
        <f>IF(A120="","", SUMIFS(التحصيلات!$E:$E, التحصيلات!$I:$I, A120))</f>
        <v/>
      </c>
      <c r="P120" t="str">
        <f t="shared" si="4"/>
        <v/>
      </c>
      <c r="S120" t="str">
        <f>IF(A120="","", SUMIFS(جدول [2]الأقساط!$E:$E, جدول [2]الأقساط!$B:$B, A120))</f>
        <v/>
      </c>
      <c r="T120" t="str">
        <f t="shared" si="5"/>
        <v/>
      </c>
    </row>
    <row r="121" spans="3:20" x14ac:dyDescent="0.25">
      <c r="C121" t="str">
        <f>IF(B121="","",IFERROR(VLOOKUP(B121,المشاريع!$A:$B,2,FALSE),"⚠️ المشروع غير موجود"))</f>
        <v/>
      </c>
      <c r="J121" t="str">
        <f t="shared" si="3"/>
        <v/>
      </c>
      <c r="O121" t="str">
        <f>IF(A121="","", SUMIFS(التحصيلات!$E:$E, التحصيلات!$I:$I, A121))</f>
        <v/>
      </c>
      <c r="P121" t="str">
        <f t="shared" si="4"/>
        <v/>
      </c>
      <c r="S121" t="str">
        <f>IF(A121="","", SUMIFS(جدول [2]الأقساط!$E:$E, جدول [2]الأقساط!$B:$B, A121))</f>
        <v/>
      </c>
      <c r="T121" t="str">
        <f t="shared" si="5"/>
        <v/>
      </c>
    </row>
    <row r="122" spans="3:20" x14ac:dyDescent="0.25">
      <c r="C122" t="str">
        <f>IF(B122="","",IFERROR(VLOOKUP(B122,المشاريع!$A:$B,2,FALSE),"⚠️ المشروع غير موجود"))</f>
        <v/>
      </c>
      <c r="J122" t="str">
        <f t="shared" si="3"/>
        <v/>
      </c>
      <c r="O122" t="str">
        <f>IF(A122="","", SUMIFS(التحصيلات!$E:$E, التحصيلات!$I:$I, A122))</f>
        <v/>
      </c>
      <c r="P122" t="str">
        <f t="shared" si="4"/>
        <v/>
      </c>
      <c r="S122" t="str">
        <f>IF(A122="","", SUMIFS(جدول [2]الأقساط!$E:$E, جدول [2]الأقساط!$B:$B, A122))</f>
        <v/>
      </c>
      <c r="T122" t="str">
        <f t="shared" si="5"/>
        <v/>
      </c>
    </row>
    <row r="123" spans="3:20" x14ac:dyDescent="0.25">
      <c r="C123" t="str">
        <f>IF(B123="","",IFERROR(VLOOKUP(B123,المشاريع!$A:$B,2,FALSE),"⚠️ المشروع غير موجود"))</f>
        <v/>
      </c>
      <c r="J123" t="str">
        <f t="shared" si="3"/>
        <v/>
      </c>
      <c r="O123" t="str">
        <f>IF(A123="","", SUMIFS(التحصيلات!$E:$E, التحصيلات!$I:$I, A123))</f>
        <v/>
      </c>
      <c r="P123" t="str">
        <f t="shared" si="4"/>
        <v/>
      </c>
      <c r="S123" t="str">
        <f>IF(A123="","", SUMIFS(جدول [2]الأقساط!$E:$E, جدول [2]الأقساط!$B:$B, A123))</f>
        <v/>
      </c>
      <c r="T123" t="str">
        <f t="shared" si="5"/>
        <v/>
      </c>
    </row>
    <row r="124" spans="3:20" x14ac:dyDescent="0.25">
      <c r="C124" t="str">
        <f>IF(B124="","",IFERROR(VLOOKUP(B124,المشاريع!$A:$B,2,FALSE),"⚠️ المشروع غير موجود"))</f>
        <v/>
      </c>
      <c r="J124" t="str">
        <f t="shared" si="3"/>
        <v/>
      </c>
      <c r="O124" t="str">
        <f>IF(A124="","", SUMIFS(التحصيلات!$E:$E, التحصيلات!$I:$I, A124))</f>
        <v/>
      </c>
      <c r="P124" t="str">
        <f t="shared" si="4"/>
        <v/>
      </c>
      <c r="S124" t="str">
        <f>IF(A124="","", SUMIFS(جدول [2]الأقساط!$E:$E, جدول [2]الأقساط!$B:$B, A124))</f>
        <v/>
      </c>
      <c r="T124" t="str">
        <f t="shared" si="5"/>
        <v/>
      </c>
    </row>
    <row r="125" spans="3:20" x14ac:dyDescent="0.25">
      <c r="C125" t="str">
        <f>IF(B125="","",IFERROR(VLOOKUP(B125,المشاريع!$A:$B,2,FALSE),"⚠️ المشروع غير موجود"))</f>
        <v/>
      </c>
      <c r="J125" t="str">
        <f t="shared" si="3"/>
        <v/>
      </c>
      <c r="O125" t="str">
        <f>IF(A125="","", SUMIFS(التحصيلات!$E:$E, التحصيلات!$I:$I, A125))</f>
        <v/>
      </c>
      <c r="P125" t="str">
        <f t="shared" si="4"/>
        <v/>
      </c>
      <c r="S125" t="str">
        <f>IF(A125="","", SUMIFS(جدول [2]الأقساط!$E:$E, جدول [2]الأقساط!$B:$B, A125))</f>
        <v/>
      </c>
      <c r="T125" t="str">
        <f t="shared" si="5"/>
        <v/>
      </c>
    </row>
    <row r="126" spans="3:20" x14ac:dyDescent="0.25">
      <c r="C126" t="str">
        <f>IF(B126="","",IFERROR(VLOOKUP(B126,المشاريع!$A:$B,2,FALSE),"⚠️ المشروع غير موجود"))</f>
        <v/>
      </c>
      <c r="J126" t="str">
        <f t="shared" si="3"/>
        <v/>
      </c>
      <c r="O126" t="str">
        <f>IF(A126="","", SUMIFS(التحصيلات!$E:$E, التحصيلات!$I:$I, A126))</f>
        <v/>
      </c>
      <c r="P126" t="str">
        <f t="shared" si="4"/>
        <v/>
      </c>
      <c r="S126" t="str">
        <f>IF(A126="","", SUMIFS(جدول [2]الأقساط!$E:$E, جدول [2]الأقساط!$B:$B, A126))</f>
        <v/>
      </c>
      <c r="T126" t="str">
        <f t="shared" si="5"/>
        <v/>
      </c>
    </row>
    <row r="127" spans="3:20" x14ac:dyDescent="0.25">
      <c r="C127" t="str">
        <f>IF(B127="","",IFERROR(VLOOKUP(B127,المشاريع!$A:$B,2,FALSE),"⚠️ المشروع غير موجود"))</f>
        <v/>
      </c>
      <c r="J127" t="str">
        <f t="shared" si="3"/>
        <v/>
      </c>
      <c r="O127" t="str">
        <f>IF(A127="","", SUMIFS(التحصيلات!$E:$E, التحصيلات!$I:$I, A127))</f>
        <v/>
      </c>
      <c r="P127" t="str">
        <f t="shared" si="4"/>
        <v/>
      </c>
      <c r="S127" t="str">
        <f>IF(A127="","", SUMIFS(جدول [2]الأقساط!$E:$E, جدول [2]الأقساط!$B:$B, A127))</f>
        <v/>
      </c>
      <c r="T127" t="str">
        <f t="shared" si="5"/>
        <v/>
      </c>
    </row>
    <row r="128" spans="3:20" x14ac:dyDescent="0.25">
      <c r="C128" t="str">
        <f>IF(B128="","",IFERROR(VLOOKUP(B128,المشاريع!$A:$B,2,FALSE),"⚠️ المشروع غير موجود"))</f>
        <v/>
      </c>
      <c r="J128" t="str">
        <f t="shared" si="3"/>
        <v/>
      </c>
      <c r="O128" t="str">
        <f>IF(A128="","", SUMIFS(التحصيلات!$E:$E, التحصيلات!$I:$I, A128))</f>
        <v/>
      </c>
      <c r="P128" t="str">
        <f t="shared" si="4"/>
        <v/>
      </c>
      <c r="S128" t="str">
        <f>IF(A128="","", SUMIFS(جدول [2]الأقساط!$E:$E, جدول [2]الأقساط!$B:$B, A128))</f>
        <v/>
      </c>
      <c r="T128" t="str">
        <f t="shared" si="5"/>
        <v/>
      </c>
    </row>
    <row r="129" spans="3:20" x14ac:dyDescent="0.25">
      <c r="C129" t="str">
        <f>IF(B129="","",IFERROR(VLOOKUP(B129,المشاريع!$A:$B,2,FALSE),"⚠️ المشروع غير موجود"))</f>
        <v/>
      </c>
      <c r="J129" t="str">
        <f t="shared" si="3"/>
        <v/>
      </c>
      <c r="O129" t="str">
        <f>IF(A129="","", SUMIFS(التحصيلات!$E:$E, التحصيلات!$I:$I, A129))</f>
        <v/>
      </c>
      <c r="P129" t="str">
        <f t="shared" si="4"/>
        <v/>
      </c>
      <c r="S129" t="str">
        <f>IF(A129="","", SUMIFS(جدول [2]الأقساط!$E:$E, جدول [2]الأقساط!$B:$B, A129))</f>
        <v/>
      </c>
      <c r="T129" t="str">
        <f t="shared" si="5"/>
        <v/>
      </c>
    </row>
    <row r="130" spans="3:20" x14ac:dyDescent="0.25">
      <c r="C130" t="str">
        <f>IF(B130="","",IFERROR(VLOOKUP(B130,المشاريع!$A:$B,2,FALSE),"⚠️ المشروع غير موجود"))</f>
        <v/>
      </c>
      <c r="J130" t="str">
        <f t="shared" si="3"/>
        <v/>
      </c>
      <c r="O130" t="str">
        <f>IF(A130="","", SUMIFS(التحصيلات!$E:$E, التحصيلات!$I:$I, A130))</f>
        <v/>
      </c>
      <c r="P130" t="str">
        <f t="shared" si="4"/>
        <v/>
      </c>
      <c r="S130" t="str">
        <f>IF(A130="","", SUMIFS(جدول [2]الأقساط!$E:$E, جدول [2]الأقساط!$B:$B, A130))</f>
        <v/>
      </c>
      <c r="T130" t="str">
        <f t="shared" si="5"/>
        <v/>
      </c>
    </row>
    <row r="131" spans="3:20" x14ac:dyDescent="0.25">
      <c r="C131" t="str">
        <f>IF(B131="","",IFERROR(VLOOKUP(B131,المشاريع!$A:$B,2,FALSE),"⚠️ المشروع غير موجود"))</f>
        <v/>
      </c>
      <c r="J131" t="str">
        <f t="shared" ref="J131:J194" si="6">IF(G131="","", G131 - IF(I131="",0,I131))</f>
        <v/>
      </c>
      <c r="O131" t="str">
        <f>IF(A131="","", SUMIFS(التحصيلات!$E:$E, التحصيلات!$I:$I, A131))</f>
        <v/>
      </c>
      <c r="P131" t="str">
        <f t="shared" ref="P131:P194" si="7">IF(G131="","", G131 - O131)</f>
        <v/>
      </c>
      <c r="S131" t="str">
        <f>IF(A131="","", SUMIFS(جدول [2]الأقساط!$E:$E, جدول [2]الأقساط!$B:$B, A131))</f>
        <v/>
      </c>
      <c r="T131" t="str">
        <f t="shared" ref="T131:T194" si="8">IF(A131="","", IF(OR(H131="تقسيط", H131="كاش + تقسيط"), IF(ROUND(ABS(S131-J131),2)&gt;0, "⚠️ جدول الأقساط غير متطابق", "سليم"), "سليم"))</f>
        <v/>
      </c>
    </row>
    <row r="132" spans="3:20" x14ac:dyDescent="0.25">
      <c r="C132" t="str">
        <f>IF(B132="","",IFERROR(VLOOKUP(B132,المشاريع!$A:$B,2,FALSE),"⚠️ المشروع غير موجود"))</f>
        <v/>
      </c>
      <c r="J132" t="str">
        <f t="shared" si="6"/>
        <v/>
      </c>
      <c r="O132" t="str">
        <f>IF(A132="","", SUMIFS(التحصيلات!$E:$E, التحصيلات!$I:$I, A132))</f>
        <v/>
      </c>
      <c r="P132" t="str">
        <f t="shared" si="7"/>
        <v/>
      </c>
      <c r="S132" t="str">
        <f>IF(A132="","", SUMIFS(جدول [2]الأقساط!$E:$E, جدول [2]الأقساط!$B:$B, A132))</f>
        <v/>
      </c>
      <c r="T132" t="str">
        <f t="shared" si="8"/>
        <v/>
      </c>
    </row>
    <row r="133" spans="3:20" x14ac:dyDescent="0.25">
      <c r="C133" t="str">
        <f>IF(B133="","",IFERROR(VLOOKUP(B133,المشاريع!$A:$B,2,FALSE),"⚠️ المشروع غير موجود"))</f>
        <v/>
      </c>
      <c r="J133" t="str">
        <f t="shared" si="6"/>
        <v/>
      </c>
      <c r="O133" t="str">
        <f>IF(A133="","", SUMIFS(التحصيلات!$E:$E, التحصيلات!$I:$I, A133))</f>
        <v/>
      </c>
      <c r="P133" t="str">
        <f t="shared" si="7"/>
        <v/>
      </c>
      <c r="S133" t="str">
        <f>IF(A133="","", SUMIFS(جدول [2]الأقساط!$E:$E, جدول [2]الأقساط!$B:$B, A133))</f>
        <v/>
      </c>
      <c r="T133" t="str">
        <f t="shared" si="8"/>
        <v/>
      </c>
    </row>
    <row r="134" spans="3:20" x14ac:dyDescent="0.25">
      <c r="C134" t="str">
        <f>IF(B134="","",IFERROR(VLOOKUP(B134,المشاريع!$A:$B,2,FALSE),"⚠️ المشروع غير موجود"))</f>
        <v/>
      </c>
      <c r="J134" t="str">
        <f t="shared" si="6"/>
        <v/>
      </c>
      <c r="O134" t="str">
        <f>IF(A134="","", SUMIFS(التحصيلات!$E:$E, التحصيلات!$I:$I, A134))</f>
        <v/>
      </c>
      <c r="P134" t="str">
        <f t="shared" si="7"/>
        <v/>
      </c>
      <c r="S134" t="str">
        <f>IF(A134="","", SUMIFS(جدول [2]الأقساط!$E:$E, جدول [2]الأقساط!$B:$B, A134))</f>
        <v/>
      </c>
      <c r="T134" t="str">
        <f t="shared" si="8"/>
        <v/>
      </c>
    </row>
    <row r="135" spans="3:20" x14ac:dyDescent="0.25">
      <c r="C135" t="str">
        <f>IF(B135="","",IFERROR(VLOOKUP(B135,المشاريع!$A:$B,2,FALSE),"⚠️ المشروع غير موجود"))</f>
        <v/>
      </c>
      <c r="J135" t="str">
        <f t="shared" si="6"/>
        <v/>
      </c>
      <c r="O135" t="str">
        <f>IF(A135="","", SUMIFS(التحصيلات!$E:$E, التحصيلات!$I:$I, A135))</f>
        <v/>
      </c>
      <c r="P135" t="str">
        <f t="shared" si="7"/>
        <v/>
      </c>
      <c r="S135" t="str">
        <f>IF(A135="","", SUMIFS(جدول [2]الأقساط!$E:$E, جدول [2]الأقساط!$B:$B, A135))</f>
        <v/>
      </c>
      <c r="T135" t="str">
        <f t="shared" si="8"/>
        <v/>
      </c>
    </row>
    <row r="136" spans="3:20" x14ac:dyDescent="0.25">
      <c r="C136" t="str">
        <f>IF(B136="","",IFERROR(VLOOKUP(B136,المشاريع!$A:$B,2,FALSE),"⚠️ المشروع غير موجود"))</f>
        <v/>
      </c>
      <c r="J136" t="str">
        <f t="shared" si="6"/>
        <v/>
      </c>
      <c r="O136" t="str">
        <f>IF(A136="","", SUMIFS(التحصيلات!$E:$E, التحصيلات!$I:$I, A136))</f>
        <v/>
      </c>
      <c r="P136" t="str">
        <f t="shared" si="7"/>
        <v/>
      </c>
      <c r="S136" t="str">
        <f>IF(A136="","", SUMIFS(جدول [2]الأقساط!$E:$E, جدول [2]الأقساط!$B:$B, A136))</f>
        <v/>
      </c>
      <c r="T136" t="str">
        <f t="shared" si="8"/>
        <v/>
      </c>
    </row>
    <row r="137" spans="3:20" x14ac:dyDescent="0.25">
      <c r="C137" t="str">
        <f>IF(B137="","",IFERROR(VLOOKUP(B137,المشاريع!$A:$B,2,FALSE),"⚠️ المشروع غير موجود"))</f>
        <v/>
      </c>
      <c r="J137" t="str">
        <f t="shared" si="6"/>
        <v/>
      </c>
      <c r="O137" t="str">
        <f>IF(A137="","", SUMIFS(التحصيلات!$E:$E, التحصيلات!$I:$I, A137))</f>
        <v/>
      </c>
      <c r="P137" t="str">
        <f t="shared" si="7"/>
        <v/>
      </c>
      <c r="S137" t="str">
        <f>IF(A137="","", SUMIFS(جدول [2]الأقساط!$E:$E, جدول [2]الأقساط!$B:$B, A137))</f>
        <v/>
      </c>
      <c r="T137" t="str">
        <f t="shared" si="8"/>
        <v/>
      </c>
    </row>
    <row r="138" spans="3:20" x14ac:dyDescent="0.25">
      <c r="C138" t="str">
        <f>IF(B138="","",IFERROR(VLOOKUP(B138,المشاريع!$A:$B,2,FALSE),"⚠️ المشروع غير موجود"))</f>
        <v/>
      </c>
      <c r="J138" t="str">
        <f t="shared" si="6"/>
        <v/>
      </c>
      <c r="O138" t="str">
        <f>IF(A138="","", SUMIFS(التحصيلات!$E:$E, التحصيلات!$I:$I, A138))</f>
        <v/>
      </c>
      <c r="P138" t="str">
        <f t="shared" si="7"/>
        <v/>
      </c>
      <c r="S138" t="str">
        <f>IF(A138="","", SUMIFS(جدول [2]الأقساط!$E:$E, جدول [2]الأقساط!$B:$B, A138))</f>
        <v/>
      </c>
      <c r="T138" t="str">
        <f t="shared" si="8"/>
        <v/>
      </c>
    </row>
    <row r="139" spans="3:20" x14ac:dyDescent="0.25">
      <c r="C139" t="str">
        <f>IF(B139="","",IFERROR(VLOOKUP(B139,المشاريع!$A:$B,2,FALSE),"⚠️ المشروع غير موجود"))</f>
        <v/>
      </c>
      <c r="J139" t="str">
        <f t="shared" si="6"/>
        <v/>
      </c>
      <c r="O139" t="str">
        <f>IF(A139="","", SUMIFS(التحصيلات!$E:$E, التحصيلات!$I:$I, A139))</f>
        <v/>
      </c>
      <c r="P139" t="str">
        <f t="shared" si="7"/>
        <v/>
      </c>
      <c r="S139" t="str">
        <f>IF(A139="","", SUMIFS(جدول [2]الأقساط!$E:$E, جدول [2]الأقساط!$B:$B, A139))</f>
        <v/>
      </c>
      <c r="T139" t="str">
        <f t="shared" si="8"/>
        <v/>
      </c>
    </row>
    <row r="140" spans="3:20" x14ac:dyDescent="0.25">
      <c r="C140" t="str">
        <f>IF(B140="","",IFERROR(VLOOKUP(B140,المشاريع!$A:$B,2,FALSE),"⚠️ المشروع غير موجود"))</f>
        <v/>
      </c>
      <c r="J140" t="str">
        <f t="shared" si="6"/>
        <v/>
      </c>
      <c r="O140" t="str">
        <f>IF(A140="","", SUMIFS(التحصيلات!$E:$E, التحصيلات!$I:$I, A140))</f>
        <v/>
      </c>
      <c r="P140" t="str">
        <f t="shared" si="7"/>
        <v/>
      </c>
      <c r="S140" t="str">
        <f>IF(A140="","", SUMIFS(جدول [2]الأقساط!$E:$E, جدول [2]الأقساط!$B:$B, A140))</f>
        <v/>
      </c>
      <c r="T140" t="str">
        <f t="shared" si="8"/>
        <v/>
      </c>
    </row>
    <row r="141" spans="3:20" x14ac:dyDescent="0.25">
      <c r="C141" t="str">
        <f>IF(B141="","",IFERROR(VLOOKUP(B141,المشاريع!$A:$B,2,FALSE),"⚠️ المشروع غير موجود"))</f>
        <v/>
      </c>
      <c r="J141" t="str">
        <f t="shared" si="6"/>
        <v/>
      </c>
      <c r="O141" t="str">
        <f>IF(A141="","", SUMIFS(التحصيلات!$E:$E, التحصيلات!$I:$I, A141))</f>
        <v/>
      </c>
      <c r="P141" t="str">
        <f t="shared" si="7"/>
        <v/>
      </c>
      <c r="S141" t="str">
        <f>IF(A141="","", SUMIFS(جدول [2]الأقساط!$E:$E, جدول [2]الأقساط!$B:$B, A141))</f>
        <v/>
      </c>
      <c r="T141" t="str">
        <f t="shared" si="8"/>
        <v/>
      </c>
    </row>
    <row r="142" spans="3:20" x14ac:dyDescent="0.25">
      <c r="C142" t="str">
        <f>IF(B142="","",IFERROR(VLOOKUP(B142,المشاريع!$A:$B,2,FALSE),"⚠️ المشروع غير موجود"))</f>
        <v/>
      </c>
      <c r="J142" t="str">
        <f t="shared" si="6"/>
        <v/>
      </c>
      <c r="O142" t="str">
        <f>IF(A142="","", SUMIFS(التحصيلات!$E:$E, التحصيلات!$I:$I, A142))</f>
        <v/>
      </c>
      <c r="P142" t="str">
        <f t="shared" si="7"/>
        <v/>
      </c>
      <c r="S142" t="str">
        <f>IF(A142="","", SUMIFS(جدول [2]الأقساط!$E:$E, جدول [2]الأقساط!$B:$B, A142))</f>
        <v/>
      </c>
      <c r="T142" t="str">
        <f t="shared" si="8"/>
        <v/>
      </c>
    </row>
    <row r="143" spans="3:20" x14ac:dyDescent="0.25">
      <c r="C143" t="str">
        <f>IF(B143="","",IFERROR(VLOOKUP(B143,المشاريع!$A:$B,2,FALSE),"⚠️ المشروع غير موجود"))</f>
        <v/>
      </c>
      <c r="J143" t="str">
        <f t="shared" si="6"/>
        <v/>
      </c>
      <c r="O143" t="str">
        <f>IF(A143="","", SUMIFS(التحصيلات!$E:$E, التحصيلات!$I:$I, A143))</f>
        <v/>
      </c>
      <c r="P143" t="str">
        <f t="shared" si="7"/>
        <v/>
      </c>
      <c r="S143" t="str">
        <f>IF(A143="","", SUMIFS(جدول [2]الأقساط!$E:$E, جدول [2]الأقساط!$B:$B, A143))</f>
        <v/>
      </c>
      <c r="T143" t="str">
        <f t="shared" si="8"/>
        <v/>
      </c>
    </row>
    <row r="144" spans="3:20" x14ac:dyDescent="0.25">
      <c r="C144" t="str">
        <f>IF(B144="","",IFERROR(VLOOKUP(B144,المشاريع!$A:$B,2,FALSE),"⚠️ المشروع غير موجود"))</f>
        <v/>
      </c>
      <c r="J144" t="str">
        <f t="shared" si="6"/>
        <v/>
      </c>
      <c r="O144" t="str">
        <f>IF(A144="","", SUMIFS(التحصيلات!$E:$E, التحصيلات!$I:$I, A144))</f>
        <v/>
      </c>
      <c r="P144" t="str">
        <f t="shared" si="7"/>
        <v/>
      </c>
      <c r="S144" t="str">
        <f>IF(A144="","", SUMIFS(جدول [2]الأقساط!$E:$E, جدول [2]الأقساط!$B:$B, A144))</f>
        <v/>
      </c>
      <c r="T144" t="str">
        <f t="shared" si="8"/>
        <v/>
      </c>
    </row>
    <row r="145" spans="3:20" x14ac:dyDescent="0.25">
      <c r="C145" t="str">
        <f>IF(B145="","",IFERROR(VLOOKUP(B145,المشاريع!$A:$B,2,FALSE),"⚠️ المشروع غير موجود"))</f>
        <v/>
      </c>
      <c r="J145" t="str">
        <f t="shared" si="6"/>
        <v/>
      </c>
      <c r="O145" t="str">
        <f>IF(A145="","", SUMIFS(التحصيلات!$E:$E, التحصيلات!$I:$I, A145))</f>
        <v/>
      </c>
      <c r="P145" t="str">
        <f t="shared" si="7"/>
        <v/>
      </c>
      <c r="S145" t="str">
        <f>IF(A145="","", SUMIFS(جدول [2]الأقساط!$E:$E, جدول [2]الأقساط!$B:$B, A145))</f>
        <v/>
      </c>
      <c r="T145" t="str">
        <f t="shared" si="8"/>
        <v/>
      </c>
    </row>
    <row r="146" spans="3:20" x14ac:dyDescent="0.25">
      <c r="C146" t="str">
        <f>IF(B146="","",IFERROR(VLOOKUP(B146,المشاريع!$A:$B,2,FALSE),"⚠️ المشروع غير موجود"))</f>
        <v/>
      </c>
      <c r="J146" t="str">
        <f t="shared" si="6"/>
        <v/>
      </c>
      <c r="O146" t="str">
        <f>IF(A146="","", SUMIFS(التحصيلات!$E:$E, التحصيلات!$I:$I, A146))</f>
        <v/>
      </c>
      <c r="P146" t="str">
        <f t="shared" si="7"/>
        <v/>
      </c>
      <c r="S146" t="str">
        <f>IF(A146="","", SUMIFS(جدول [2]الأقساط!$E:$E, جدول [2]الأقساط!$B:$B, A146))</f>
        <v/>
      </c>
      <c r="T146" t="str">
        <f t="shared" si="8"/>
        <v/>
      </c>
    </row>
    <row r="147" spans="3:20" x14ac:dyDescent="0.25">
      <c r="C147" t="str">
        <f>IF(B147="","",IFERROR(VLOOKUP(B147,المشاريع!$A:$B,2,FALSE),"⚠️ المشروع غير موجود"))</f>
        <v/>
      </c>
      <c r="J147" t="str">
        <f t="shared" si="6"/>
        <v/>
      </c>
      <c r="O147" t="str">
        <f>IF(A147="","", SUMIFS(التحصيلات!$E:$E, التحصيلات!$I:$I, A147))</f>
        <v/>
      </c>
      <c r="P147" t="str">
        <f t="shared" si="7"/>
        <v/>
      </c>
      <c r="S147" t="str">
        <f>IF(A147="","", SUMIFS(جدول [2]الأقساط!$E:$E, جدول [2]الأقساط!$B:$B, A147))</f>
        <v/>
      </c>
      <c r="T147" t="str">
        <f t="shared" si="8"/>
        <v/>
      </c>
    </row>
    <row r="148" spans="3:20" x14ac:dyDescent="0.25">
      <c r="C148" t="str">
        <f>IF(B148="","",IFERROR(VLOOKUP(B148,المشاريع!$A:$B,2,FALSE),"⚠️ المشروع غير موجود"))</f>
        <v/>
      </c>
      <c r="J148" t="str">
        <f t="shared" si="6"/>
        <v/>
      </c>
      <c r="O148" t="str">
        <f>IF(A148="","", SUMIFS(التحصيلات!$E:$E, التحصيلات!$I:$I, A148))</f>
        <v/>
      </c>
      <c r="P148" t="str">
        <f t="shared" si="7"/>
        <v/>
      </c>
      <c r="S148" t="str">
        <f>IF(A148="","", SUMIFS(جدول [2]الأقساط!$E:$E, جدول [2]الأقساط!$B:$B, A148))</f>
        <v/>
      </c>
      <c r="T148" t="str">
        <f t="shared" si="8"/>
        <v/>
      </c>
    </row>
    <row r="149" spans="3:20" x14ac:dyDescent="0.25">
      <c r="C149" t="str">
        <f>IF(B149="","",IFERROR(VLOOKUP(B149,المشاريع!$A:$B,2,FALSE),"⚠️ المشروع غير موجود"))</f>
        <v/>
      </c>
      <c r="J149" t="str">
        <f t="shared" si="6"/>
        <v/>
      </c>
      <c r="O149" t="str">
        <f>IF(A149="","", SUMIFS(التحصيلات!$E:$E, التحصيلات!$I:$I, A149))</f>
        <v/>
      </c>
      <c r="P149" t="str">
        <f t="shared" si="7"/>
        <v/>
      </c>
      <c r="S149" t="str">
        <f>IF(A149="","", SUMIFS(جدول [2]الأقساط!$E:$E, جدول [2]الأقساط!$B:$B, A149))</f>
        <v/>
      </c>
      <c r="T149" t="str">
        <f t="shared" si="8"/>
        <v/>
      </c>
    </row>
    <row r="150" spans="3:20" x14ac:dyDescent="0.25">
      <c r="C150" t="str">
        <f>IF(B150="","",IFERROR(VLOOKUP(B150,المشاريع!$A:$B,2,FALSE),"⚠️ المشروع غير موجود"))</f>
        <v/>
      </c>
      <c r="J150" t="str">
        <f t="shared" si="6"/>
        <v/>
      </c>
      <c r="O150" t="str">
        <f>IF(A150="","", SUMIFS(التحصيلات!$E:$E, التحصيلات!$I:$I, A150))</f>
        <v/>
      </c>
      <c r="P150" t="str">
        <f t="shared" si="7"/>
        <v/>
      </c>
      <c r="S150" t="str">
        <f>IF(A150="","", SUMIFS(جدول [2]الأقساط!$E:$E, جدول [2]الأقساط!$B:$B, A150))</f>
        <v/>
      </c>
      <c r="T150" t="str">
        <f t="shared" si="8"/>
        <v/>
      </c>
    </row>
    <row r="151" spans="3:20" x14ac:dyDescent="0.25">
      <c r="C151" t="str">
        <f>IF(B151="","",IFERROR(VLOOKUP(B151,المشاريع!$A:$B,2,FALSE),"⚠️ المشروع غير موجود"))</f>
        <v/>
      </c>
      <c r="J151" t="str">
        <f t="shared" si="6"/>
        <v/>
      </c>
      <c r="O151" t="str">
        <f>IF(A151="","", SUMIFS(التحصيلات!$E:$E, التحصيلات!$I:$I, A151))</f>
        <v/>
      </c>
      <c r="P151" t="str">
        <f t="shared" si="7"/>
        <v/>
      </c>
      <c r="S151" t="str">
        <f>IF(A151="","", SUMIFS(جدول [2]الأقساط!$E:$E, جدول [2]الأقساط!$B:$B, A151))</f>
        <v/>
      </c>
      <c r="T151" t="str">
        <f t="shared" si="8"/>
        <v/>
      </c>
    </row>
    <row r="152" spans="3:20" x14ac:dyDescent="0.25">
      <c r="C152" t="str">
        <f>IF(B152="","",IFERROR(VLOOKUP(B152,المشاريع!$A:$B,2,FALSE),"⚠️ المشروع غير موجود"))</f>
        <v/>
      </c>
      <c r="J152" t="str">
        <f t="shared" si="6"/>
        <v/>
      </c>
      <c r="O152" t="str">
        <f>IF(A152="","", SUMIFS(التحصيلات!$E:$E, التحصيلات!$I:$I, A152))</f>
        <v/>
      </c>
      <c r="P152" t="str">
        <f t="shared" si="7"/>
        <v/>
      </c>
      <c r="S152" t="str">
        <f>IF(A152="","", SUMIFS(جدول [2]الأقساط!$E:$E, جدول [2]الأقساط!$B:$B, A152))</f>
        <v/>
      </c>
      <c r="T152" t="str">
        <f t="shared" si="8"/>
        <v/>
      </c>
    </row>
    <row r="153" spans="3:20" x14ac:dyDescent="0.25">
      <c r="C153" t="str">
        <f>IF(B153="","",IFERROR(VLOOKUP(B153,المشاريع!$A:$B,2,FALSE),"⚠️ المشروع غير موجود"))</f>
        <v/>
      </c>
      <c r="J153" t="str">
        <f t="shared" si="6"/>
        <v/>
      </c>
      <c r="O153" t="str">
        <f>IF(A153="","", SUMIFS(التحصيلات!$E:$E, التحصيلات!$I:$I, A153))</f>
        <v/>
      </c>
      <c r="P153" t="str">
        <f t="shared" si="7"/>
        <v/>
      </c>
      <c r="S153" t="str">
        <f>IF(A153="","", SUMIFS(جدول [2]الأقساط!$E:$E, جدول [2]الأقساط!$B:$B, A153))</f>
        <v/>
      </c>
      <c r="T153" t="str">
        <f t="shared" si="8"/>
        <v/>
      </c>
    </row>
    <row r="154" spans="3:20" x14ac:dyDescent="0.25">
      <c r="C154" t="str">
        <f>IF(B154="","",IFERROR(VLOOKUP(B154,المشاريع!$A:$B,2,FALSE),"⚠️ المشروع غير موجود"))</f>
        <v/>
      </c>
      <c r="J154" t="str">
        <f t="shared" si="6"/>
        <v/>
      </c>
      <c r="O154" t="str">
        <f>IF(A154="","", SUMIFS(التحصيلات!$E:$E, التحصيلات!$I:$I, A154))</f>
        <v/>
      </c>
      <c r="P154" t="str">
        <f t="shared" si="7"/>
        <v/>
      </c>
      <c r="S154" t="str">
        <f>IF(A154="","", SUMIFS(جدول [2]الأقساط!$E:$E, جدول [2]الأقساط!$B:$B, A154))</f>
        <v/>
      </c>
      <c r="T154" t="str">
        <f t="shared" si="8"/>
        <v/>
      </c>
    </row>
    <row r="155" spans="3:20" x14ac:dyDescent="0.25">
      <c r="C155" t="str">
        <f>IF(B155="","",IFERROR(VLOOKUP(B155,المشاريع!$A:$B,2,FALSE),"⚠️ المشروع غير موجود"))</f>
        <v/>
      </c>
      <c r="J155" t="str">
        <f t="shared" si="6"/>
        <v/>
      </c>
      <c r="O155" t="str">
        <f>IF(A155="","", SUMIFS(التحصيلات!$E:$E, التحصيلات!$I:$I, A155))</f>
        <v/>
      </c>
      <c r="P155" t="str">
        <f t="shared" si="7"/>
        <v/>
      </c>
      <c r="S155" t="str">
        <f>IF(A155="","", SUMIFS(جدول [2]الأقساط!$E:$E, جدول [2]الأقساط!$B:$B, A155))</f>
        <v/>
      </c>
      <c r="T155" t="str">
        <f t="shared" si="8"/>
        <v/>
      </c>
    </row>
    <row r="156" spans="3:20" x14ac:dyDescent="0.25">
      <c r="C156" t="str">
        <f>IF(B156="","",IFERROR(VLOOKUP(B156,المشاريع!$A:$B,2,FALSE),"⚠️ المشروع غير موجود"))</f>
        <v/>
      </c>
      <c r="J156" t="str">
        <f t="shared" si="6"/>
        <v/>
      </c>
      <c r="O156" t="str">
        <f>IF(A156="","", SUMIFS(التحصيلات!$E:$E, التحصيلات!$I:$I, A156))</f>
        <v/>
      </c>
      <c r="P156" t="str">
        <f t="shared" si="7"/>
        <v/>
      </c>
      <c r="S156" t="str">
        <f>IF(A156="","", SUMIFS(جدول [2]الأقساط!$E:$E, جدول [2]الأقساط!$B:$B, A156))</f>
        <v/>
      </c>
      <c r="T156" t="str">
        <f t="shared" si="8"/>
        <v/>
      </c>
    </row>
    <row r="157" spans="3:20" x14ac:dyDescent="0.25">
      <c r="C157" t="str">
        <f>IF(B157="","",IFERROR(VLOOKUP(B157,المشاريع!$A:$B,2,FALSE),"⚠️ المشروع غير موجود"))</f>
        <v/>
      </c>
      <c r="J157" t="str">
        <f t="shared" si="6"/>
        <v/>
      </c>
      <c r="O157" t="str">
        <f>IF(A157="","", SUMIFS(التحصيلات!$E:$E, التحصيلات!$I:$I, A157))</f>
        <v/>
      </c>
      <c r="P157" t="str">
        <f t="shared" si="7"/>
        <v/>
      </c>
      <c r="S157" t="str">
        <f>IF(A157="","", SUMIFS(جدول [2]الأقساط!$E:$E, جدول [2]الأقساط!$B:$B, A157))</f>
        <v/>
      </c>
      <c r="T157" t="str">
        <f t="shared" si="8"/>
        <v/>
      </c>
    </row>
    <row r="158" spans="3:20" x14ac:dyDescent="0.25">
      <c r="C158" t="str">
        <f>IF(B158="","",IFERROR(VLOOKUP(B158,المشاريع!$A:$B,2,FALSE),"⚠️ المشروع غير موجود"))</f>
        <v/>
      </c>
      <c r="J158" t="str">
        <f t="shared" si="6"/>
        <v/>
      </c>
      <c r="O158" t="str">
        <f>IF(A158="","", SUMIFS(التحصيلات!$E:$E, التحصيلات!$I:$I, A158))</f>
        <v/>
      </c>
      <c r="P158" t="str">
        <f t="shared" si="7"/>
        <v/>
      </c>
      <c r="S158" t="str">
        <f>IF(A158="","", SUMIFS(جدول [2]الأقساط!$E:$E, جدول [2]الأقساط!$B:$B, A158))</f>
        <v/>
      </c>
      <c r="T158" t="str">
        <f t="shared" si="8"/>
        <v/>
      </c>
    </row>
    <row r="159" spans="3:20" x14ac:dyDescent="0.25">
      <c r="C159" t="str">
        <f>IF(B159="","",IFERROR(VLOOKUP(B159,المشاريع!$A:$B,2,FALSE),"⚠️ المشروع غير موجود"))</f>
        <v/>
      </c>
      <c r="J159" t="str">
        <f t="shared" si="6"/>
        <v/>
      </c>
      <c r="O159" t="str">
        <f>IF(A159="","", SUMIFS(التحصيلات!$E:$E, التحصيلات!$I:$I, A159))</f>
        <v/>
      </c>
      <c r="P159" t="str">
        <f t="shared" si="7"/>
        <v/>
      </c>
      <c r="S159" t="str">
        <f>IF(A159="","", SUMIFS(جدول [2]الأقساط!$E:$E, جدول [2]الأقساط!$B:$B, A159))</f>
        <v/>
      </c>
      <c r="T159" t="str">
        <f t="shared" si="8"/>
        <v/>
      </c>
    </row>
    <row r="160" spans="3:20" x14ac:dyDescent="0.25">
      <c r="C160" t="str">
        <f>IF(B160="","",IFERROR(VLOOKUP(B160,المشاريع!$A:$B,2,FALSE),"⚠️ المشروع غير موجود"))</f>
        <v/>
      </c>
      <c r="J160" t="str">
        <f t="shared" si="6"/>
        <v/>
      </c>
      <c r="O160" t="str">
        <f>IF(A160="","", SUMIFS(التحصيلات!$E:$E, التحصيلات!$I:$I, A160))</f>
        <v/>
      </c>
      <c r="P160" t="str">
        <f t="shared" si="7"/>
        <v/>
      </c>
      <c r="S160" t="str">
        <f>IF(A160="","", SUMIFS(جدول [2]الأقساط!$E:$E, جدول [2]الأقساط!$B:$B, A160))</f>
        <v/>
      </c>
      <c r="T160" t="str">
        <f t="shared" si="8"/>
        <v/>
      </c>
    </row>
    <row r="161" spans="3:20" x14ac:dyDescent="0.25">
      <c r="C161" t="str">
        <f>IF(B161="","",IFERROR(VLOOKUP(B161,المشاريع!$A:$B,2,FALSE),"⚠️ المشروع غير موجود"))</f>
        <v/>
      </c>
      <c r="J161" t="str">
        <f t="shared" si="6"/>
        <v/>
      </c>
      <c r="O161" t="str">
        <f>IF(A161="","", SUMIFS(التحصيلات!$E:$E, التحصيلات!$I:$I, A161))</f>
        <v/>
      </c>
      <c r="P161" t="str">
        <f t="shared" si="7"/>
        <v/>
      </c>
      <c r="S161" t="str">
        <f>IF(A161="","", SUMIFS(جدول [2]الأقساط!$E:$E, جدول [2]الأقساط!$B:$B, A161))</f>
        <v/>
      </c>
      <c r="T161" t="str">
        <f t="shared" si="8"/>
        <v/>
      </c>
    </row>
    <row r="162" spans="3:20" x14ac:dyDescent="0.25">
      <c r="C162" t="str">
        <f>IF(B162="","",IFERROR(VLOOKUP(B162,المشاريع!$A:$B,2,FALSE),"⚠️ المشروع غير موجود"))</f>
        <v/>
      </c>
      <c r="J162" t="str">
        <f t="shared" si="6"/>
        <v/>
      </c>
      <c r="O162" t="str">
        <f>IF(A162="","", SUMIFS(التحصيلات!$E:$E, التحصيلات!$I:$I, A162))</f>
        <v/>
      </c>
      <c r="P162" t="str">
        <f t="shared" si="7"/>
        <v/>
      </c>
      <c r="S162" t="str">
        <f>IF(A162="","", SUMIFS(جدول [2]الأقساط!$E:$E, جدول [2]الأقساط!$B:$B, A162))</f>
        <v/>
      </c>
      <c r="T162" t="str">
        <f t="shared" si="8"/>
        <v/>
      </c>
    </row>
    <row r="163" spans="3:20" x14ac:dyDescent="0.25">
      <c r="C163" t="str">
        <f>IF(B163="","",IFERROR(VLOOKUP(B163,المشاريع!$A:$B,2,FALSE),"⚠️ المشروع غير موجود"))</f>
        <v/>
      </c>
      <c r="J163" t="str">
        <f t="shared" si="6"/>
        <v/>
      </c>
      <c r="O163" t="str">
        <f>IF(A163="","", SUMIFS(التحصيلات!$E:$E, التحصيلات!$I:$I, A163))</f>
        <v/>
      </c>
      <c r="P163" t="str">
        <f t="shared" si="7"/>
        <v/>
      </c>
      <c r="S163" t="str">
        <f>IF(A163="","", SUMIFS(جدول [2]الأقساط!$E:$E, جدول [2]الأقساط!$B:$B, A163))</f>
        <v/>
      </c>
      <c r="T163" t="str">
        <f t="shared" si="8"/>
        <v/>
      </c>
    </row>
    <row r="164" spans="3:20" x14ac:dyDescent="0.25">
      <c r="C164" t="str">
        <f>IF(B164="","",IFERROR(VLOOKUP(B164,المشاريع!$A:$B,2,FALSE),"⚠️ المشروع غير موجود"))</f>
        <v/>
      </c>
      <c r="J164" t="str">
        <f t="shared" si="6"/>
        <v/>
      </c>
      <c r="O164" t="str">
        <f>IF(A164="","", SUMIFS(التحصيلات!$E:$E, التحصيلات!$I:$I, A164))</f>
        <v/>
      </c>
      <c r="P164" t="str">
        <f t="shared" si="7"/>
        <v/>
      </c>
      <c r="S164" t="str">
        <f>IF(A164="","", SUMIFS(جدول [2]الأقساط!$E:$E, جدول [2]الأقساط!$B:$B, A164))</f>
        <v/>
      </c>
      <c r="T164" t="str">
        <f t="shared" si="8"/>
        <v/>
      </c>
    </row>
    <row r="165" spans="3:20" x14ac:dyDescent="0.25">
      <c r="C165" t="str">
        <f>IF(B165="","",IFERROR(VLOOKUP(B165,المشاريع!$A:$B,2,FALSE),"⚠️ المشروع غير موجود"))</f>
        <v/>
      </c>
      <c r="J165" t="str">
        <f t="shared" si="6"/>
        <v/>
      </c>
      <c r="O165" t="str">
        <f>IF(A165="","", SUMIFS(التحصيلات!$E:$E, التحصيلات!$I:$I, A165))</f>
        <v/>
      </c>
      <c r="P165" t="str">
        <f t="shared" si="7"/>
        <v/>
      </c>
      <c r="S165" t="str">
        <f>IF(A165="","", SUMIFS(جدول [2]الأقساط!$E:$E, جدول [2]الأقساط!$B:$B, A165))</f>
        <v/>
      </c>
      <c r="T165" t="str">
        <f t="shared" si="8"/>
        <v/>
      </c>
    </row>
    <row r="166" spans="3:20" x14ac:dyDescent="0.25">
      <c r="C166" t="str">
        <f>IF(B166="","",IFERROR(VLOOKUP(B166,المشاريع!$A:$B,2,FALSE),"⚠️ المشروع غير موجود"))</f>
        <v/>
      </c>
      <c r="J166" t="str">
        <f t="shared" si="6"/>
        <v/>
      </c>
      <c r="O166" t="str">
        <f>IF(A166="","", SUMIFS(التحصيلات!$E:$E, التحصيلات!$I:$I, A166))</f>
        <v/>
      </c>
      <c r="P166" t="str">
        <f t="shared" si="7"/>
        <v/>
      </c>
      <c r="S166" t="str">
        <f>IF(A166="","", SUMIFS(جدول [2]الأقساط!$E:$E, جدول [2]الأقساط!$B:$B, A166))</f>
        <v/>
      </c>
      <c r="T166" t="str">
        <f t="shared" si="8"/>
        <v/>
      </c>
    </row>
    <row r="167" spans="3:20" x14ac:dyDescent="0.25">
      <c r="C167" t="str">
        <f>IF(B167="","",IFERROR(VLOOKUP(B167,المشاريع!$A:$B,2,FALSE),"⚠️ المشروع غير موجود"))</f>
        <v/>
      </c>
      <c r="J167" t="str">
        <f t="shared" si="6"/>
        <v/>
      </c>
      <c r="O167" t="str">
        <f>IF(A167="","", SUMIFS(التحصيلات!$E:$E, التحصيلات!$I:$I, A167))</f>
        <v/>
      </c>
      <c r="P167" t="str">
        <f t="shared" si="7"/>
        <v/>
      </c>
      <c r="S167" t="str">
        <f>IF(A167="","", SUMIFS(جدول [2]الأقساط!$E:$E, جدول [2]الأقساط!$B:$B, A167))</f>
        <v/>
      </c>
      <c r="T167" t="str">
        <f t="shared" si="8"/>
        <v/>
      </c>
    </row>
    <row r="168" spans="3:20" x14ac:dyDescent="0.25">
      <c r="C168" t="str">
        <f>IF(B168="","",IFERROR(VLOOKUP(B168,المشاريع!$A:$B,2,FALSE),"⚠️ المشروع غير موجود"))</f>
        <v/>
      </c>
      <c r="J168" t="str">
        <f t="shared" si="6"/>
        <v/>
      </c>
      <c r="O168" t="str">
        <f>IF(A168="","", SUMIFS(التحصيلات!$E:$E, التحصيلات!$I:$I, A168))</f>
        <v/>
      </c>
      <c r="P168" t="str">
        <f t="shared" si="7"/>
        <v/>
      </c>
      <c r="S168" t="str">
        <f>IF(A168="","", SUMIFS(جدول [2]الأقساط!$E:$E, جدول [2]الأقساط!$B:$B, A168))</f>
        <v/>
      </c>
      <c r="T168" t="str">
        <f t="shared" si="8"/>
        <v/>
      </c>
    </row>
    <row r="169" spans="3:20" x14ac:dyDescent="0.25">
      <c r="C169" t="str">
        <f>IF(B169="","",IFERROR(VLOOKUP(B169,المشاريع!$A:$B,2,FALSE),"⚠️ المشروع غير موجود"))</f>
        <v/>
      </c>
      <c r="J169" t="str">
        <f t="shared" si="6"/>
        <v/>
      </c>
      <c r="O169" t="str">
        <f>IF(A169="","", SUMIFS(التحصيلات!$E:$E, التحصيلات!$I:$I, A169))</f>
        <v/>
      </c>
      <c r="P169" t="str">
        <f t="shared" si="7"/>
        <v/>
      </c>
      <c r="S169" t="str">
        <f>IF(A169="","", SUMIFS(جدول [2]الأقساط!$E:$E, جدول [2]الأقساط!$B:$B, A169))</f>
        <v/>
      </c>
      <c r="T169" t="str">
        <f t="shared" si="8"/>
        <v/>
      </c>
    </row>
    <row r="170" spans="3:20" x14ac:dyDescent="0.25">
      <c r="C170" t="str">
        <f>IF(B170="","",IFERROR(VLOOKUP(B170,المشاريع!$A:$B,2,FALSE),"⚠️ المشروع غير موجود"))</f>
        <v/>
      </c>
      <c r="J170" t="str">
        <f t="shared" si="6"/>
        <v/>
      </c>
      <c r="O170" t="str">
        <f>IF(A170="","", SUMIFS(التحصيلات!$E:$E, التحصيلات!$I:$I, A170))</f>
        <v/>
      </c>
      <c r="P170" t="str">
        <f t="shared" si="7"/>
        <v/>
      </c>
      <c r="S170" t="str">
        <f>IF(A170="","", SUMIFS(جدول [2]الأقساط!$E:$E, جدول [2]الأقساط!$B:$B, A170))</f>
        <v/>
      </c>
      <c r="T170" t="str">
        <f t="shared" si="8"/>
        <v/>
      </c>
    </row>
    <row r="171" spans="3:20" x14ac:dyDescent="0.25">
      <c r="C171" t="str">
        <f>IF(B171="","",IFERROR(VLOOKUP(B171,المشاريع!$A:$B,2,FALSE),"⚠️ المشروع غير موجود"))</f>
        <v/>
      </c>
      <c r="J171" t="str">
        <f t="shared" si="6"/>
        <v/>
      </c>
      <c r="O171" t="str">
        <f>IF(A171="","", SUMIFS(التحصيلات!$E:$E, التحصيلات!$I:$I, A171))</f>
        <v/>
      </c>
      <c r="P171" t="str">
        <f t="shared" si="7"/>
        <v/>
      </c>
      <c r="S171" t="str">
        <f>IF(A171="","", SUMIFS(جدول [2]الأقساط!$E:$E, جدول [2]الأقساط!$B:$B, A171))</f>
        <v/>
      </c>
      <c r="T171" t="str">
        <f t="shared" si="8"/>
        <v/>
      </c>
    </row>
    <row r="172" spans="3:20" x14ac:dyDescent="0.25">
      <c r="C172" t="str">
        <f>IF(B172="","",IFERROR(VLOOKUP(B172,المشاريع!$A:$B,2,FALSE),"⚠️ المشروع غير موجود"))</f>
        <v/>
      </c>
      <c r="J172" t="str">
        <f t="shared" si="6"/>
        <v/>
      </c>
      <c r="O172" t="str">
        <f>IF(A172="","", SUMIFS(التحصيلات!$E:$E, التحصيلات!$I:$I, A172))</f>
        <v/>
      </c>
      <c r="P172" t="str">
        <f t="shared" si="7"/>
        <v/>
      </c>
      <c r="S172" t="str">
        <f>IF(A172="","", SUMIFS(جدول [2]الأقساط!$E:$E, جدول [2]الأقساط!$B:$B, A172))</f>
        <v/>
      </c>
      <c r="T172" t="str">
        <f t="shared" si="8"/>
        <v/>
      </c>
    </row>
    <row r="173" spans="3:20" x14ac:dyDescent="0.25">
      <c r="C173" t="str">
        <f>IF(B173="","",IFERROR(VLOOKUP(B173,المشاريع!$A:$B,2,FALSE),"⚠️ المشروع غير موجود"))</f>
        <v/>
      </c>
      <c r="J173" t="str">
        <f t="shared" si="6"/>
        <v/>
      </c>
      <c r="O173" t="str">
        <f>IF(A173="","", SUMIFS(التحصيلات!$E:$E, التحصيلات!$I:$I, A173))</f>
        <v/>
      </c>
      <c r="P173" t="str">
        <f t="shared" si="7"/>
        <v/>
      </c>
      <c r="S173" t="str">
        <f>IF(A173="","", SUMIFS(جدول [2]الأقساط!$E:$E, جدول [2]الأقساط!$B:$B, A173))</f>
        <v/>
      </c>
      <c r="T173" t="str">
        <f t="shared" si="8"/>
        <v/>
      </c>
    </row>
    <row r="174" spans="3:20" x14ac:dyDescent="0.25">
      <c r="C174" t="str">
        <f>IF(B174="","",IFERROR(VLOOKUP(B174,المشاريع!$A:$B,2,FALSE),"⚠️ المشروع غير موجود"))</f>
        <v/>
      </c>
      <c r="J174" t="str">
        <f t="shared" si="6"/>
        <v/>
      </c>
      <c r="O174" t="str">
        <f>IF(A174="","", SUMIFS(التحصيلات!$E:$E, التحصيلات!$I:$I, A174))</f>
        <v/>
      </c>
      <c r="P174" t="str">
        <f t="shared" si="7"/>
        <v/>
      </c>
      <c r="S174" t="str">
        <f>IF(A174="","", SUMIFS(جدول [2]الأقساط!$E:$E, جدول [2]الأقساط!$B:$B, A174))</f>
        <v/>
      </c>
      <c r="T174" t="str">
        <f t="shared" si="8"/>
        <v/>
      </c>
    </row>
    <row r="175" spans="3:20" x14ac:dyDescent="0.25">
      <c r="C175" t="str">
        <f>IF(B175="","",IFERROR(VLOOKUP(B175,المشاريع!$A:$B,2,FALSE),"⚠️ المشروع غير موجود"))</f>
        <v/>
      </c>
      <c r="J175" t="str">
        <f t="shared" si="6"/>
        <v/>
      </c>
      <c r="O175" t="str">
        <f>IF(A175="","", SUMIFS(التحصيلات!$E:$E, التحصيلات!$I:$I, A175))</f>
        <v/>
      </c>
      <c r="P175" t="str">
        <f t="shared" si="7"/>
        <v/>
      </c>
      <c r="S175" t="str">
        <f>IF(A175="","", SUMIFS(جدول [2]الأقساط!$E:$E, جدول [2]الأقساط!$B:$B, A175))</f>
        <v/>
      </c>
      <c r="T175" t="str">
        <f t="shared" si="8"/>
        <v/>
      </c>
    </row>
    <row r="176" spans="3:20" x14ac:dyDescent="0.25">
      <c r="C176" t="str">
        <f>IF(B176="","",IFERROR(VLOOKUP(B176,المشاريع!$A:$B,2,FALSE),"⚠️ المشروع غير موجود"))</f>
        <v/>
      </c>
      <c r="J176" t="str">
        <f t="shared" si="6"/>
        <v/>
      </c>
      <c r="O176" t="str">
        <f>IF(A176="","", SUMIFS(التحصيلات!$E:$E, التحصيلات!$I:$I, A176))</f>
        <v/>
      </c>
      <c r="P176" t="str">
        <f t="shared" si="7"/>
        <v/>
      </c>
      <c r="S176" t="str">
        <f>IF(A176="","", SUMIFS(جدول [2]الأقساط!$E:$E, جدول [2]الأقساط!$B:$B, A176))</f>
        <v/>
      </c>
      <c r="T176" t="str">
        <f t="shared" si="8"/>
        <v/>
      </c>
    </row>
    <row r="177" spans="3:20" x14ac:dyDescent="0.25">
      <c r="C177" t="str">
        <f>IF(B177="","",IFERROR(VLOOKUP(B177,المشاريع!$A:$B,2,FALSE),"⚠️ المشروع غير موجود"))</f>
        <v/>
      </c>
      <c r="J177" t="str">
        <f t="shared" si="6"/>
        <v/>
      </c>
      <c r="O177" t="str">
        <f>IF(A177="","", SUMIFS(التحصيلات!$E:$E, التحصيلات!$I:$I, A177))</f>
        <v/>
      </c>
      <c r="P177" t="str">
        <f t="shared" si="7"/>
        <v/>
      </c>
      <c r="S177" t="str">
        <f>IF(A177="","", SUMIFS(جدول [2]الأقساط!$E:$E, جدول [2]الأقساط!$B:$B, A177))</f>
        <v/>
      </c>
      <c r="T177" t="str">
        <f t="shared" si="8"/>
        <v/>
      </c>
    </row>
    <row r="178" spans="3:20" x14ac:dyDescent="0.25">
      <c r="C178" t="str">
        <f>IF(B178="","",IFERROR(VLOOKUP(B178,المشاريع!$A:$B,2,FALSE),"⚠️ المشروع غير موجود"))</f>
        <v/>
      </c>
      <c r="J178" t="str">
        <f t="shared" si="6"/>
        <v/>
      </c>
      <c r="O178" t="str">
        <f>IF(A178="","", SUMIFS(التحصيلات!$E:$E, التحصيلات!$I:$I, A178))</f>
        <v/>
      </c>
      <c r="P178" t="str">
        <f t="shared" si="7"/>
        <v/>
      </c>
      <c r="S178" t="str">
        <f>IF(A178="","", SUMIFS(جدول [2]الأقساط!$E:$E, جدول [2]الأقساط!$B:$B, A178))</f>
        <v/>
      </c>
      <c r="T178" t="str">
        <f t="shared" si="8"/>
        <v/>
      </c>
    </row>
    <row r="179" spans="3:20" x14ac:dyDescent="0.25">
      <c r="C179" t="str">
        <f>IF(B179="","",IFERROR(VLOOKUP(B179,المشاريع!$A:$B,2,FALSE),"⚠️ المشروع غير موجود"))</f>
        <v/>
      </c>
      <c r="J179" t="str">
        <f t="shared" si="6"/>
        <v/>
      </c>
      <c r="O179" t="str">
        <f>IF(A179="","", SUMIFS(التحصيلات!$E:$E, التحصيلات!$I:$I, A179))</f>
        <v/>
      </c>
      <c r="P179" t="str">
        <f t="shared" si="7"/>
        <v/>
      </c>
      <c r="S179" t="str">
        <f>IF(A179="","", SUMIFS(جدول [2]الأقساط!$E:$E, جدول [2]الأقساط!$B:$B, A179))</f>
        <v/>
      </c>
      <c r="T179" t="str">
        <f t="shared" si="8"/>
        <v/>
      </c>
    </row>
    <row r="180" spans="3:20" x14ac:dyDescent="0.25">
      <c r="C180" t="str">
        <f>IF(B180="","",IFERROR(VLOOKUP(B180,المشاريع!$A:$B,2,FALSE),"⚠️ المشروع غير موجود"))</f>
        <v/>
      </c>
      <c r="J180" t="str">
        <f t="shared" si="6"/>
        <v/>
      </c>
      <c r="O180" t="str">
        <f>IF(A180="","", SUMIFS(التحصيلات!$E:$E, التحصيلات!$I:$I, A180))</f>
        <v/>
      </c>
      <c r="P180" t="str">
        <f t="shared" si="7"/>
        <v/>
      </c>
      <c r="S180" t="str">
        <f>IF(A180="","", SUMIFS(جدول [2]الأقساط!$E:$E, جدول [2]الأقساط!$B:$B, A180))</f>
        <v/>
      </c>
      <c r="T180" t="str">
        <f t="shared" si="8"/>
        <v/>
      </c>
    </row>
    <row r="181" spans="3:20" x14ac:dyDescent="0.25">
      <c r="C181" t="str">
        <f>IF(B181="","",IFERROR(VLOOKUP(B181,المشاريع!$A:$B,2,FALSE),"⚠️ المشروع غير موجود"))</f>
        <v/>
      </c>
      <c r="J181" t="str">
        <f t="shared" si="6"/>
        <v/>
      </c>
      <c r="O181" t="str">
        <f>IF(A181="","", SUMIFS(التحصيلات!$E:$E, التحصيلات!$I:$I, A181))</f>
        <v/>
      </c>
      <c r="P181" t="str">
        <f t="shared" si="7"/>
        <v/>
      </c>
      <c r="S181" t="str">
        <f>IF(A181="","", SUMIFS(جدول [2]الأقساط!$E:$E, جدول [2]الأقساط!$B:$B, A181))</f>
        <v/>
      </c>
      <c r="T181" t="str">
        <f t="shared" si="8"/>
        <v/>
      </c>
    </row>
    <row r="182" spans="3:20" x14ac:dyDescent="0.25">
      <c r="C182" t="str">
        <f>IF(B182="","",IFERROR(VLOOKUP(B182,المشاريع!$A:$B,2,FALSE),"⚠️ المشروع غير موجود"))</f>
        <v/>
      </c>
      <c r="J182" t="str">
        <f t="shared" si="6"/>
        <v/>
      </c>
      <c r="O182" t="str">
        <f>IF(A182="","", SUMIFS(التحصيلات!$E:$E, التحصيلات!$I:$I, A182))</f>
        <v/>
      </c>
      <c r="P182" t="str">
        <f t="shared" si="7"/>
        <v/>
      </c>
      <c r="S182" t="str">
        <f>IF(A182="","", SUMIFS(جدول [2]الأقساط!$E:$E, جدول [2]الأقساط!$B:$B, A182))</f>
        <v/>
      </c>
      <c r="T182" t="str">
        <f t="shared" si="8"/>
        <v/>
      </c>
    </row>
    <row r="183" spans="3:20" x14ac:dyDescent="0.25">
      <c r="C183" t="str">
        <f>IF(B183="","",IFERROR(VLOOKUP(B183,المشاريع!$A:$B,2,FALSE),"⚠️ المشروع غير موجود"))</f>
        <v/>
      </c>
      <c r="J183" t="str">
        <f t="shared" si="6"/>
        <v/>
      </c>
      <c r="O183" t="str">
        <f>IF(A183="","", SUMIFS(التحصيلات!$E:$E, التحصيلات!$I:$I, A183))</f>
        <v/>
      </c>
      <c r="P183" t="str">
        <f t="shared" si="7"/>
        <v/>
      </c>
      <c r="S183" t="str">
        <f>IF(A183="","", SUMIFS(جدول [2]الأقساط!$E:$E, جدول [2]الأقساط!$B:$B, A183))</f>
        <v/>
      </c>
      <c r="T183" t="str">
        <f t="shared" si="8"/>
        <v/>
      </c>
    </row>
    <row r="184" spans="3:20" x14ac:dyDescent="0.25">
      <c r="C184" t="str">
        <f>IF(B184="","",IFERROR(VLOOKUP(B184,المشاريع!$A:$B,2,FALSE),"⚠️ المشروع غير موجود"))</f>
        <v/>
      </c>
      <c r="J184" t="str">
        <f t="shared" si="6"/>
        <v/>
      </c>
      <c r="O184" t="str">
        <f>IF(A184="","", SUMIFS(التحصيلات!$E:$E, التحصيلات!$I:$I, A184))</f>
        <v/>
      </c>
      <c r="P184" t="str">
        <f t="shared" si="7"/>
        <v/>
      </c>
      <c r="S184" t="str">
        <f>IF(A184="","", SUMIFS(جدول [2]الأقساط!$E:$E, جدول [2]الأقساط!$B:$B, A184))</f>
        <v/>
      </c>
      <c r="T184" t="str">
        <f t="shared" si="8"/>
        <v/>
      </c>
    </row>
    <row r="185" spans="3:20" x14ac:dyDescent="0.25">
      <c r="C185" t="str">
        <f>IF(B185="","",IFERROR(VLOOKUP(B185,المشاريع!$A:$B,2,FALSE),"⚠️ المشروع غير موجود"))</f>
        <v/>
      </c>
      <c r="J185" t="str">
        <f t="shared" si="6"/>
        <v/>
      </c>
      <c r="O185" t="str">
        <f>IF(A185="","", SUMIFS(التحصيلات!$E:$E, التحصيلات!$I:$I, A185))</f>
        <v/>
      </c>
      <c r="P185" t="str">
        <f t="shared" si="7"/>
        <v/>
      </c>
      <c r="S185" t="str">
        <f>IF(A185="","", SUMIFS(جدول [2]الأقساط!$E:$E, جدول [2]الأقساط!$B:$B, A185))</f>
        <v/>
      </c>
      <c r="T185" t="str">
        <f t="shared" si="8"/>
        <v/>
      </c>
    </row>
    <row r="186" spans="3:20" x14ac:dyDescent="0.25">
      <c r="C186" t="str">
        <f>IF(B186="","",IFERROR(VLOOKUP(B186,المشاريع!$A:$B,2,FALSE),"⚠️ المشروع غير موجود"))</f>
        <v/>
      </c>
      <c r="J186" t="str">
        <f t="shared" si="6"/>
        <v/>
      </c>
      <c r="O186" t="str">
        <f>IF(A186="","", SUMIFS(التحصيلات!$E:$E, التحصيلات!$I:$I, A186))</f>
        <v/>
      </c>
      <c r="P186" t="str">
        <f t="shared" si="7"/>
        <v/>
      </c>
      <c r="S186" t="str">
        <f>IF(A186="","", SUMIFS(جدول [2]الأقساط!$E:$E, جدول [2]الأقساط!$B:$B, A186))</f>
        <v/>
      </c>
      <c r="T186" t="str">
        <f t="shared" si="8"/>
        <v/>
      </c>
    </row>
    <row r="187" spans="3:20" x14ac:dyDescent="0.25">
      <c r="C187" t="str">
        <f>IF(B187="","",IFERROR(VLOOKUP(B187,المشاريع!$A:$B,2,FALSE),"⚠️ المشروع غير موجود"))</f>
        <v/>
      </c>
      <c r="J187" t="str">
        <f t="shared" si="6"/>
        <v/>
      </c>
      <c r="O187" t="str">
        <f>IF(A187="","", SUMIFS(التحصيلات!$E:$E, التحصيلات!$I:$I, A187))</f>
        <v/>
      </c>
      <c r="P187" t="str">
        <f t="shared" si="7"/>
        <v/>
      </c>
      <c r="S187" t="str">
        <f>IF(A187="","", SUMIFS(جدول [2]الأقساط!$E:$E, جدول [2]الأقساط!$B:$B, A187))</f>
        <v/>
      </c>
      <c r="T187" t="str">
        <f t="shared" si="8"/>
        <v/>
      </c>
    </row>
    <row r="188" spans="3:20" x14ac:dyDescent="0.25">
      <c r="C188" t="str">
        <f>IF(B188="","",IFERROR(VLOOKUP(B188,المشاريع!$A:$B,2,FALSE),"⚠️ المشروع غير موجود"))</f>
        <v/>
      </c>
      <c r="J188" t="str">
        <f t="shared" si="6"/>
        <v/>
      </c>
      <c r="O188" t="str">
        <f>IF(A188="","", SUMIFS(التحصيلات!$E:$E, التحصيلات!$I:$I, A188))</f>
        <v/>
      </c>
      <c r="P188" t="str">
        <f t="shared" si="7"/>
        <v/>
      </c>
      <c r="S188" t="str">
        <f>IF(A188="","", SUMIFS(جدول [2]الأقساط!$E:$E, جدول [2]الأقساط!$B:$B, A188))</f>
        <v/>
      </c>
      <c r="T188" t="str">
        <f t="shared" si="8"/>
        <v/>
      </c>
    </row>
    <row r="189" spans="3:20" x14ac:dyDescent="0.25">
      <c r="C189" t="str">
        <f>IF(B189="","",IFERROR(VLOOKUP(B189,المشاريع!$A:$B,2,FALSE),"⚠️ المشروع غير موجود"))</f>
        <v/>
      </c>
      <c r="J189" t="str">
        <f t="shared" si="6"/>
        <v/>
      </c>
      <c r="O189" t="str">
        <f>IF(A189="","", SUMIFS(التحصيلات!$E:$E, التحصيلات!$I:$I, A189))</f>
        <v/>
      </c>
      <c r="P189" t="str">
        <f t="shared" si="7"/>
        <v/>
      </c>
      <c r="S189" t="str">
        <f>IF(A189="","", SUMIFS(جدول [2]الأقساط!$E:$E, جدول [2]الأقساط!$B:$B, A189))</f>
        <v/>
      </c>
      <c r="T189" t="str">
        <f t="shared" si="8"/>
        <v/>
      </c>
    </row>
    <row r="190" spans="3:20" x14ac:dyDescent="0.25">
      <c r="C190" t="str">
        <f>IF(B190="","",IFERROR(VLOOKUP(B190,المشاريع!$A:$B,2,FALSE),"⚠️ المشروع غير موجود"))</f>
        <v/>
      </c>
      <c r="J190" t="str">
        <f t="shared" si="6"/>
        <v/>
      </c>
      <c r="O190" t="str">
        <f>IF(A190="","", SUMIFS(التحصيلات!$E:$E, التحصيلات!$I:$I, A190))</f>
        <v/>
      </c>
      <c r="P190" t="str">
        <f t="shared" si="7"/>
        <v/>
      </c>
      <c r="S190" t="str">
        <f>IF(A190="","", SUMIFS(جدول [2]الأقساط!$E:$E, جدول [2]الأقساط!$B:$B, A190))</f>
        <v/>
      </c>
      <c r="T190" t="str">
        <f t="shared" si="8"/>
        <v/>
      </c>
    </row>
    <row r="191" spans="3:20" x14ac:dyDescent="0.25">
      <c r="C191" t="str">
        <f>IF(B191="","",IFERROR(VLOOKUP(B191,المشاريع!$A:$B,2,FALSE),"⚠️ المشروع غير موجود"))</f>
        <v/>
      </c>
      <c r="J191" t="str">
        <f t="shared" si="6"/>
        <v/>
      </c>
      <c r="O191" t="str">
        <f>IF(A191="","", SUMIFS(التحصيلات!$E:$E, التحصيلات!$I:$I, A191))</f>
        <v/>
      </c>
      <c r="P191" t="str">
        <f t="shared" si="7"/>
        <v/>
      </c>
      <c r="S191" t="str">
        <f>IF(A191="","", SUMIFS(جدول [2]الأقساط!$E:$E, جدول [2]الأقساط!$B:$B, A191))</f>
        <v/>
      </c>
      <c r="T191" t="str">
        <f t="shared" si="8"/>
        <v/>
      </c>
    </row>
    <row r="192" spans="3:20" x14ac:dyDescent="0.25">
      <c r="C192" t="str">
        <f>IF(B192="","",IFERROR(VLOOKUP(B192,المشاريع!$A:$B,2,FALSE),"⚠️ المشروع غير موجود"))</f>
        <v/>
      </c>
      <c r="J192" t="str">
        <f t="shared" si="6"/>
        <v/>
      </c>
      <c r="O192" t="str">
        <f>IF(A192="","", SUMIFS(التحصيلات!$E:$E, التحصيلات!$I:$I, A192))</f>
        <v/>
      </c>
      <c r="P192" t="str">
        <f t="shared" si="7"/>
        <v/>
      </c>
      <c r="S192" t="str">
        <f>IF(A192="","", SUMIFS(جدول [2]الأقساط!$E:$E, جدول [2]الأقساط!$B:$B, A192))</f>
        <v/>
      </c>
      <c r="T192" t="str">
        <f t="shared" si="8"/>
        <v/>
      </c>
    </row>
    <row r="193" spans="3:20" x14ac:dyDescent="0.25">
      <c r="C193" t="str">
        <f>IF(B193="","",IFERROR(VLOOKUP(B193,المشاريع!$A:$B,2,FALSE),"⚠️ المشروع غير موجود"))</f>
        <v/>
      </c>
      <c r="J193" t="str">
        <f t="shared" si="6"/>
        <v/>
      </c>
      <c r="O193" t="str">
        <f>IF(A193="","", SUMIFS(التحصيلات!$E:$E, التحصيلات!$I:$I, A193))</f>
        <v/>
      </c>
      <c r="P193" t="str">
        <f t="shared" si="7"/>
        <v/>
      </c>
      <c r="S193" t="str">
        <f>IF(A193="","", SUMIFS(جدول [2]الأقساط!$E:$E, جدول [2]الأقساط!$B:$B, A193))</f>
        <v/>
      </c>
      <c r="T193" t="str">
        <f t="shared" si="8"/>
        <v/>
      </c>
    </row>
    <row r="194" spans="3:20" x14ac:dyDescent="0.25">
      <c r="C194" t="str">
        <f>IF(B194="","",IFERROR(VLOOKUP(B194,المشاريع!$A:$B,2,FALSE),"⚠️ المشروع غير موجود"))</f>
        <v/>
      </c>
      <c r="J194" t="str">
        <f t="shared" si="6"/>
        <v/>
      </c>
      <c r="O194" t="str">
        <f>IF(A194="","", SUMIFS(التحصيلات!$E:$E, التحصيلات!$I:$I, A194))</f>
        <v/>
      </c>
      <c r="P194" t="str">
        <f t="shared" si="7"/>
        <v/>
      </c>
      <c r="S194" t="str">
        <f>IF(A194="","", SUMIFS(جدول [2]الأقساط!$E:$E, جدول [2]الأقساط!$B:$B, A194))</f>
        <v/>
      </c>
      <c r="T194" t="str">
        <f t="shared" si="8"/>
        <v/>
      </c>
    </row>
    <row r="195" spans="3:20" x14ac:dyDescent="0.25">
      <c r="C195" t="str">
        <f>IF(B195="","",IFERROR(VLOOKUP(B195,المشاريع!$A:$B,2,FALSE),"⚠️ المشروع غير موجود"))</f>
        <v/>
      </c>
      <c r="J195" t="str">
        <f t="shared" ref="J195:J258" si="9">IF(G195="","", G195 - IF(I195="",0,I195))</f>
        <v/>
      </c>
      <c r="O195" t="str">
        <f>IF(A195="","", SUMIFS(التحصيلات!$E:$E, التحصيلات!$I:$I, A195))</f>
        <v/>
      </c>
      <c r="P195" t="str">
        <f t="shared" ref="P195:P258" si="10">IF(G195="","", G195 - O195)</f>
        <v/>
      </c>
      <c r="S195" t="str">
        <f>IF(A195="","", SUMIFS(جدول [2]الأقساط!$E:$E, جدول [2]الأقساط!$B:$B, A195))</f>
        <v/>
      </c>
      <c r="T195" t="str">
        <f t="shared" ref="T195:T258" si="11">IF(A195="","", IF(OR(H195="تقسيط", H195="كاش + تقسيط"), IF(ROUND(ABS(S195-J195),2)&gt;0, "⚠️ جدول الأقساط غير متطابق", "سليم"), "سليم"))</f>
        <v/>
      </c>
    </row>
    <row r="196" spans="3:20" x14ac:dyDescent="0.25">
      <c r="C196" t="str">
        <f>IF(B196="","",IFERROR(VLOOKUP(B196,المشاريع!$A:$B,2,FALSE),"⚠️ المشروع غير موجود"))</f>
        <v/>
      </c>
      <c r="J196" t="str">
        <f t="shared" si="9"/>
        <v/>
      </c>
      <c r="O196" t="str">
        <f>IF(A196="","", SUMIFS(التحصيلات!$E:$E, التحصيلات!$I:$I, A196))</f>
        <v/>
      </c>
      <c r="P196" t="str">
        <f t="shared" si="10"/>
        <v/>
      </c>
      <c r="S196" t="str">
        <f>IF(A196="","", SUMIFS(جدول [2]الأقساط!$E:$E, جدول [2]الأقساط!$B:$B, A196))</f>
        <v/>
      </c>
      <c r="T196" t="str">
        <f t="shared" si="11"/>
        <v/>
      </c>
    </row>
    <row r="197" spans="3:20" x14ac:dyDescent="0.25">
      <c r="C197" t="str">
        <f>IF(B197="","",IFERROR(VLOOKUP(B197,المشاريع!$A:$B,2,FALSE),"⚠️ المشروع غير موجود"))</f>
        <v/>
      </c>
      <c r="J197" t="str">
        <f t="shared" si="9"/>
        <v/>
      </c>
      <c r="O197" t="str">
        <f>IF(A197="","", SUMIFS(التحصيلات!$E:$E, التحصيلات!$I:$I, A197))</f>
        <v/>
      </c>
      <c r="P197" t="str">
        <f t="shared" si="10"/>
        <v/>
      </c>
      <c r="S197" t="str">
        <f>IF(A197="","", SUMIFS(جدول [2]الأقساط!$E:$E, جدول [2]الأقساط!$B:$B, A197))</f>
        <v/>
      </c>
      <c r="T197" t="str">
        <f t="shared" si="11"/>
        <v/>
      </c>
    </row>
    <row r="198" spans="3:20" x14ac:dyDescent="0.25">
      <c r="C198" t="str">
        <f>IF(B198="","",IFERROR(VLOOKUP(B198,المشاريع!$A:$B,2,FALSE),"⚠️ المشروع غير موجود"))</f>
        <v/>
      </c>
      <c r="J198" t="str">
        <f t="shared" si="9"/>
        <v/>
      </c>
      <c r="O198" t="str">
        <f>IF(A198="","", SUMIFS(التحصيلات!$E:$E, التحصيلات!$I:$I, A198))</f>
        <v/>
      </c>
      <c r="P198" t="str">
        <f t="shared" si="10"/>
        <v/>
      </c>
      <c r="S198" t="str">
        <f>IF(A198="","", SUMIFS(جدول [2]الأقساط!$E:$E, جدول [2]الأقساط!$B:$B, A198))</f>
        <v/>
      </c>
      <c r="T198" t="str">
        <f t="shared" si="11"/>
        <v/>
      </c>
    </row>
    <row r="199" spans="3:20" x14ac:dyDescent="0.25">
      <c r="C199" t="str">
        <f>IF(B199="","",IFERROR(VLOOKUP(B199,المشاريع!$A:$B,2,FALSE),"⚠️ المشروع غير موجود"))</f>
        <v/>
      </c>
      <c r="J199" t="str">
        <f t="shared" si="9"/>
        <v/>
      </c>
      <c r="O199" t="str">
        <f>IF(A199="","", SUMIFS(التحصيلات!$E:$E, التحصيلات!$I:$I, A199))</f>
        <v/>
      </c>
      <c r="P199" t="str">
        <f t="shared" si="10"/>
        <v/>
      </c>
      <c r="S199" t="str">
        <f>IF(A199="","", SUMIFS(جدول [2]الأقساط!$E:$E, جدول [2]الأقساط!$B:$B, A199))</f>
        <v/>
      </c>
      <c r="T199" t="str">
        <f t="shared" si="11"/>
        <v/>
      </c>
    </row>
    <row r="200" spans="3:20" x14ac:dyDescent="0.25">
      <c r="C200" t="str">
        <f>IF(B200="","",IFERROR(VLOOKUP(B200,المشاريع!$A:$B,2,FALSE),"⚠️ المشروع غير موجود"))</f>
        <v/>
      </c>
      <c r="J200" t="str">
        <f t="shared" si="9"/>
        <v/>
      </c>
      <c r="O200" t="str">
        <f>IF(A200="","", SUMIFS(التحصيلات!$E:$E, التحصيلات!$I:$I, A200))</f>
        <v/>
      </c>
      <c r="P200" t="str">
        <f t="shared" si="10"/>
        <v/>
      </c>
      <c r="S200" t="str">
        <f>IF(A200="","", SUMIFS(جدول [2]الأقساط!$E:$E, جدول [2]الأقساط!$B:$B, A200))</f>
        <v/>
      </c>
      <c r="T200" t="str">
        <f t="shared" si="11"/>
        <v/>
      </c>
    </row>
    <row r="201" spans="3:20" x14ac:dyDescent="0.25">
      <c r="C201" t="str">
        <f>IF(B201="","",IFERROR(VLOOKUP(B201,المشاريع!$A:$B,2,FALSE),"⚠️ المشروع غير موجود"))</f>
        <v/>
      </c>
      <c r="J201" t="str">
        <f t="shared" si="9"/>
        <v/>
      </c>
      <c r="O201" t="str">
        <f>IF(A201="","", SUMIFS(التحصيلات!$E:$E, التحصيلات!$I:$I, A201))</f>
        <v/>
      </c>
      <c r="P201" t="str">
        <f t="shared" si="10"/>
        <v/>
      </c>
      <c r="S201" t="str">
        <f>IF(A201="","", SUMIFS(جدول [2]الأقساط!$E:$E, جدول [2]الأقساط!$B:$B, A201))</f>
        <v/>
      </c>
      <c r="T201" t="str">
        <f t="shared" si="11"/>
        <v/>
      </c>
    </row>
    <row r="202" spans="3:20" x14ac:dyDescent="0.25">
      <c r="C202" t="str">
        <f>IF(B202="","",IFERROR(VLOOKUP(B202,المشاريع!$A:$B,2,FALSE),"⚠️ المشروع غير موجود"))</f>
        <v/>
      </c>
      <c r="J202" t="str">
        <f t="shared" si="9"/>
        <v/>
      </c>
      <c r="O202" t="str">
        <f>IF(A202="","", SUMIFS(التحصيلات!$E:$E, التحصيلات!$I:$I, A202))</f>
        <v/>
      </c>
      <c r="P202" t="str">
        <f t="shared" si="10"/>
        <v/>
      </c>
      <c r="S202" t="str">
        <f>IF(A202="","", SUMIFS(جدول [2]الأقساط!$E:$E, جدول [2]الأقساط!$B:$B, A202))</f>
        <v/>
      </c>
      <c r="T202" t="str">
        <f t="shared" si="11"/>
        <v/>
      </c>
    </row>
    <row r="203" spans="3:20" x14ac:dyDescent="0.25">
      <c r="C203" t="str">
        <f>IF(B203="","",IFERROR(VLOOKUP(B203,المشاريع!$A:$B,2,FALSE),"⚠️ المشروع غير موجود"))</f>
        <v/>
      </c>
      <c r="J203" t="str">
        <f t="shared" si="9"/>
        <v/>
      </c>
      <c r="O203" t="str">
        <f>IF(A203="","", SUMIFS(التحصيلات!$E:$E, التحصيلات!$I:$I, A203))</f>
        <v/>
      </c>
      <c r="P203" t="str">
        <f t="shared" si="10"/>
        <v/>
      </c>
      <c r="S203" t="str">
        <f>IF(A203="","", SUMIFS(جدول [2]الأقساط!$E:$E, جدول [2]الأقساط!$B:$B, A203))</f>
        <v/>
      </c>
      <c r="T203" t="str">
        <f t="shared" si="11"/>
        <v/>
      </c>
    </row>
    <row r="204" spans="3:20" x14ac:dyDescent="0.25">
      <c r="C204" t="str">
        <f>IF(B204="","",IFERROR(VLOOKUP(B204,المشاريع!$A:$B,2,FALSE),"⚠️ المشروع غير موجود"))</f>
        <v/>
      </c>
      <c r="J204" t="str">
        <f t="shared" si="9"/>
        <v/>
      </c>
      <c r="O204" t="str">
        <f>IF(A204="","", SUMIFS(التحصيلات!$E:$E, التحصيلات!$I:$I, A204))</f>
        <v/>
      </c>
      <c r="P204" t="str">
        <f t="shared" si="10"/>
        <v/>
      </c>
      <c r="S204" t="str">
        <f>IF(A204="","", SUMIFS(جدول [2]الأقساط!$E:$E, جدول [2]الأقساط!$B:$B, A204))</f>
        <v/>
      </c>
      <c r="T204" t="str">
        <f t="shared" si="11"/>
        <v/>
      </c>
    </row>
    <row r="205" spans="3:20" x14ac:dyDescent="0.25">
      <c r="C205" t="str">
        <f>IF(B205="","",IFERROR(VLOOKUP(B205,المشاريع!$A:$B,2,FALSE),"⚠️ المشروع غير موجود"))</f>
        <v/>
      </c>
      <c r="J205" t="str">
        <f t="shared" si="9"/>
        <v/>
      </c>
      <c r="O205" t="str">
        <f>IF(A205="","", SUMIFS(التحصيلات!$E:$E, التحصيلات!$I:$I, A205))</f>
        <v/>
      </c>
      <c r="P205" t="str">
        <f t="shared" si="10"/>
        <v/>
      </c>
      <c r="S205" t="str">
        <f>IF(A205="","", SUMIFS(جدول [2]الأقساط!$E:$E, جدول [2]الأقساط!$B:$B, A205))</f>
        <v/>
      </c>
      <c r="T205" t="str">
        <f t="shared" si="11"/>
        <v/>
      </c>
    </row>
    <row r="206" spans="3:20" x14ac:dyDescent="0.25">
      <c r="C206" t="str">
        <f>IF(B206="","",IFERROR(VLOOKUP(B206,المشاريع!$A:$B,2,FALSE),"⚠️ المشروع غير موجود"))</f>
        <v/>
      </c>
      <c r="J206" t="str">
        <f t="shared" si="9"/>
        <v/>
      </c>
      <c r="O206" t="str">
        <f>IF(A206="","", SUMIFS(التحصيلات!$E:$E, التحصيلات!$I:$I, A206))</f>
        <v/>
      </c>
      <c r="P206" t="str">
        <f t="shared" si="10"/>
        <v/>
      </c>
      <c r="S206" t="str">
        <f>IF(A206="","", SUMIFS(جدول [2]الأقساط!$E:$E, جدول [2]الأقساط!$B:$B, A206))</f>
        <v/>
      </c>
      <c r="T206" t="str">
        <f t="shared" si="11"/>
        <v/>
      </c>
    </row>
    <row r="207" spans="3:20" x14ac:dyDescent="0.25">
      <c r="C207" t="str">
        <f>IF(B207="","",IFERROR(VLOOKUP(B207,المشاريع!$A:$B,2,FALSE),"⚠️ المشروع غير موجود"))</f>
        <v/>
      </c>
      <c r="J207" t="str">
        <f t="shared" si="9"/>
        <v/>
      </c>
      <c r="O207" t="str">
        <f>IF(A207="","", SUMIFS(التحصيلات!$E:$E, التحصيلات!$I:$I, A207))</f>
        <v/>
      </c>
      <c r="P207" t="str">
        <f t="shared" si="10"/>
        <v/>
      </c>
      <c r="S207" t="str">
        <f>IF(A207="","", SUMIFS(جدول [2]الأقساط!$E:$E, جدول [2]الأقساط!$B:$B, A207))</f>
        <v/>
      </c>
      <c r="T207" t="str">
        <f t="shared" si="11"/>
        <v/>
      </c>
    </row>
    <row r="208" spans="3:20" x14ac:dyDescent="0.25">
      <c r="C208" t="str">
        <f>IF(B208="","",IFERROR(VLOOKUP(B208,المشاريع!$A:$B,2,FALSE),"⚠️ المشروع غير موجود"))</f>
        <v/>
      </c>
      <c r="J208" t="str">
        <f t="shared" si="9"/>
        <v/>
      </c>
      <c r="O208" t="str">
        <f>IF(A208="","", SUMIFS(التحصيلات!$E:$E, التحصيلات!$I:$I, A208))</f>
        <v/>
      </c>
      <c r="P208" t="str">
        <f t="shared" si="10"/>
        <v/>
      </c>
      <c r="S208" t="str">
        <f>IF(A208="","", SUMIFS(جدول [2]الأقساط!$E:$E, جدول [2]الأقساط!$B:$B, A208))</f>
        <v/>
      </c>
      <c r="T208" t="str">
        <f t="shared" si="11"/>
        <v/>
      </c>
    </row>
    <row r="209" spans="3:20" x14ac:dyDescent="0.25">
      <c r="C209" t="str">
        <f>IF(B209="","",IFERROR(VLOOKUP(B209,المشاريع!$A:$B,2,FALSE),"⚠️ المشروع غير موجود"))</f>
        <v/>
      </c>
      <c r="J209" t="str">
        <f t="shared" si="9"/>
        <v/>
      </c>
      <c r="O209" t="str">
        <f>IF(A209="","", SUMIFS(التحصيلات!$E:$E, التحصيلات!$I:$I, A209))</f>
        <v/>
      </c>
      <c r="P209" t="str">
        <f t="shared" si="10"/>
        <v/>
      </c>
      <c r="S209" t="str">
        <f>IF(A209="","", SUMIFS(جدول [2]الأقساط!$E:$E, جدول [2]الأقساط!$B:$B, A209))</f>
        <v/>
      </c>
      <c r="T209" t="str">
        <f t="shared" si="11"/>
        <v/>
      </c>
    </row>
    <row r="210" spans="3:20" x14ac:dyDescent="0.25">
      <c r="C210" t="str">
        <f>IF(B210="","",IFERROR(VLOOKUP(B210,المشاريع!$A:$B,2,FALSE),"⚠️ المشروع غير موجود"))</f>
        <v/>
      </c>
      <c r="J210" t="str">
        <f t="shared" si="9"/>
        <v/>
      </c>
      <c r="O210" t="str">
        <f>IF(A210="","", SUMIFS(التحصيلات!$E:$E, التحصيلات!$I:$I, A210))</f>
        <v/>
      </c>
      <c r="P210" t="str">
        <f t="shared" si="10"/>
        <v/>
      </c>
      <c r="S210" t="str">
        <f>IF(A210="","", SUMIFS(جدول [2]الأقساط!$E:$E, جدول [2]الأقساط!$B:$B, A210))</f>
        <v/>
      </c>
      <c r="T210" t="str">
        <f t="shared" si="11"/>
        <v/>
      </c>
    </row>
    <row r="211" spans="3:20" x14ac:dyDescent="0.25">
      <c r="C211" t="str">
        <f>IF(B211="","",IFERROR(VLOOKUP(B211,المشاريع!$A:$B,2,FALSE),"⚠️ المشروع غير موجود"))</f>
        <v/>
      </c>
      <c r="J211" t="str">
        <f t="shared" si="9"/>
        <v/>
      </c>
      <c r="O211" t="str">
        <f>IF(A211="","", SUMIFS(التحصيلات!$E:$E, التحصيلات!$I:$I, A211))</f>
        <v/>
      </c>
      <c r="P211" t="str">
        <f t="shared" si="10"/>
        <v/>
      </c>
      <c r="S211" t="str">
        <f>IF(A211="","", SUMIFS(جدول [2]الأقساط!$E:$E, جدول [2]الأقساط!$B:$B, A211))</f>
        <v/>
      </c>
      <c r="T211" t="str">
        <f t="shared" si="11"/>
        <v/>
      </c>
    </row>
    <row r="212" spans="3:20" x14ac:dyDescent="0.25">
      <c r="C212" t="str">
        <f>IF(B212="","",IFERROR(VLOOKUP(B212,المشاريع!$A:$B,2,FALSE),"⚠️ المشروع غير موجود"))</f>
        <v/>
      </c>
      <c r="J212" t="str">
        <f t="shared" si="9"/>
        <v/>
      </c>
      <c r="O212" t="str">
        <f>IF(A212="","", SUMIFS(التحصيلات!$E:$E, التحصيلات!$I:$I, A212))</f>
        <v/>
      </c>
      <c r="P212" t="str">
        <f t="shared" si="10"/>
        <v/>
      </c>
      <c r="S212" t="str">
        <f>IF(A212="","", SUMIFS(جدول [2]الأقساط!$E:$E, جدول [2]الأقساط!$B:$B, A212))</f>
        <v/>
      </c>
      <c r="T212" t="str">
        <f t="shared" si="11"/>
        <v/>
      </c>
    </row>
    <row r="213" spans="3:20" x14ac:dyDescent="0.25">
      <c r="C213" t="str">
        <f>IF(B213="","",IFERROR(VLOOKUP(B213,المشاريع!$A:$B,2,FALSE),"⚠️ المشروع غير موجود"))</f>
        <v/>
      </c>
      <c r="J213" t="str">
        <f t="shared" si="9"/>
        <v/>
      </c>
      <c r="O213" t="str">
        <f>IF(A213="","", SUMIFS(التحصيلات!$E:$E, التحصيلات!$I:$I, A213))</f>
        <v/>
      </c>
      <c r="P213" t="str">
        <f t="shared" si="10"/>
        <v/>
      </c>
      <c r="S213" t="str">
        <f>IF(A213="","", SUMIFS(جدول [2]الأقساط!$E:$E, جدول [2]الأقساط!$B:$B, A213))</f>
        <v/>
      </c>
      <c r="T213" t="str">
        <f t="shared" si="11"/>
        <v/>
      </c>
    </row>
    <row r="214" spans="3:20" x14ac:dyDescent="0.25">
      <c r="C214" t="str">
        <f>IF(B214="","",IFERROR(VLOOKUP(B214,المشاريع!$A:$B,2,FALSE),"⚠️ المشروع غير موجود"))</f>
        <v/>
      </c>
      <c r="J214" t="str">
        <f t="shared" si="9"/>
        <v/>
      </c>
      <c r="O214" t="str">
        <f>IF(A214="","", SUMIFS(التحصيلات!$E:$E, التحصيلات!$I:$I, A214))</f>
        <v/>
      </c>
      <c r="P214" t="str">
        <f t="shared" si="10"/>
        <v/>
      </c>
      <c r="S214" t="str">
        <f>IF(A214="","", SUMIFS(جدول [2]الأقساط!$E:$E, جدول [2]الأقساط!$B:$B, A214))</f>
        <v/>
      </c>
      <c r="T214" t="str">
        <f t="shared" si="11"/>
        <v/>
      </c>
    </row>
    <row r="215" spans="3:20" x14ac:dyDescent="0.25">
      <c r="C215" t="str">
        <f>IF(B215="","",IFERROR(VLOOKUP(B215,المشاريع!$A:$B,2,FALSE),"⚠️ المشروع غير موجود"))</f>
        <v/>
      </c>
      <c r="J215" t="str">
        <f t="shared" si="9"/>
        <v/>
      </c>
      <c r="O215" t="str">
        <f>IF(A215="","", SUMIFS(التحصيلات!$E:$E, التحصيلات!$I:$I, A215))</f>
        <v/>
      </c>
      <c r="P215" t="str">
        <f t="shared" si="10"/>
        <v/>
      </c>
      <c r="S215" t="str">
        <f>IF(A215="","", SUMIFS(جدول [2]الأقساط!$E:$E, جدول [2]الأقساط!$B:$B, A215))</f>
        <v/>
      </c>
      <c r="T215" t="str">
        <f t="shared" si="11"/>
        <v/>
      </c>
    </row>
    <row r="216" spans="3:20" x14ac:dyDescent="0.25">
      <c r="C216" t="str">
        <f>IF(B216="","",IFERROR(VLOOKUP(B216,المشاريع!$A:$B,2,FALSE),"⚠️ المشروع غير موجود"))</f>
        <v/>
      </c>
      <c r="J216" t="str">
        <f t="shared" si="9"/>
        <v/>
      </c>
      <c r="O216" t="str">
        <f>IF(A216="","", SUMIFS(التحصيلات!$E:$E, التحصيلات!$I:$I, A216))</f>
        <v/>
      </c>
      <c r="P216" t="str">
        <f t="shared" si="10"/>
        <v/>
      </c>
      <c r="S216" t="str">
        <f>IF(A216="","", SUMIFS(جدول [2]الأقساط!$E:$E, جدول [2]الأقساط!$B:$B, A216))</f>
        <v/>
      </c>
      <c r="T216" t="str">
        <f t="shared" si="11"/>
        <v/>
      </c>
    </row>
    <row r="217" spans="3:20" x14ac:dyDescent="0.25">
      <c r="C217" t="str">
        <f>IF(B217="","",IFERROR(VLOOKUP(B217,المشاريع!$A:$B,2,FALSE),"⚠️ المشروع غير موجود"))</f>
        <v/>
      </c>
      <c r="J217" t="str">
        <f t="shared" si="9"/>
        <v/>
      </c>
      <c r="O217" t="str">
        <f>IF(A217="","", SUMIFS(التحصيلات!$E:$E, التحصيلات!$I:$I, A217))</f>
        <v/>
      </c>
      <c r="P217" t="str">
        <f t="shared" si="10"/>
        <v/>
      </c>
      <c r="S217" t="str">
        <f>IF(A217="","", SUMIFS(جدول [2]الأقساط!$E:$E, جدول [2]الأقساط!$B:$B, A217))</f>
        <v/>
      </c>
      <c r="T217" t="str">
        <f t="shared" si="11"/>
        <v/>
      </c>
    </row>
    <row r="218" spans="3:20" x14ac:dyDescent="0.25">
      <c r="C218" t="str">
        <f>IF(B218="","",IFERROR(VLOOKUP(B218,المشاريع!$A:$B,2,FALSE),"⚠️ المشروع غير موجود"))</f>
        <v/>
      </c>
      <c r="J218" t="str">
        <f t="shared" si="9"/>
        <v/>
      </c>
      <c r="O218" t="str">
        <f>IF(A218="","", SUMIFS(التحصيلات!$E:$E, التحصيلات!$I:$I, A218))</f>
        <v/>
      </c>
      <c r="P218" t="str">
        <f t="shared" si="10"/>
        <v/>
      </c>
      <c r="S218" t="str">
        <f>IF(A218="","", SUMIFS(جدول [2]الأقساط!$E:$E, جدول [2]الأقساط!$B:$B, A218))</f>
        <v/>
      </c>
      <c r="T218" t="str">
        <f t="shared" si="11"/>
        <v/>
      </c>
    </row>
    <row r="219" spans="3:20" x14ac:dyDescent="0.25">
      <c r="C219" t="str">
        <f>IF(B219="","",IFERROR(VLOOKUP(B219,المشاريع!$A:$B,2,FALSE),"⚠️ المشروع غير موجود"))</f>
        <v/>
      </c>
      <c r="J219" t="str">
        <f t="shared" si="9"/>
        <v/>
      </c>
      <c r="O219" t="str">
        <f>IF(A219="","", SUMIFS(التحصيلات!$E:$E, التحصيلات!$I:$I, A219))</f>
        <v/>
      </c>
      <c r="P219" t="str">
        <f t="shared" si="10"/>
        <v/>
      </c>
      <c r="S219" t="str">
        <f>IF(A219="","", SUMIFS(جدول [2]الأقساط!$E:$E, جدول [2]الأقساط!$B:$B, A219))</f>
        <v/>
      </c>
      <c r="T219" t="str">
        <f t="shared" si="11"/>
        <v/>
      </c>
    </row>
    <row r="220" spans="3:20" x14ac:dyDescent="0.25">
      <c r="C220" t="str">
        <f>IF(B220="","",IFERROR(VLOOKUP(B220,المشاريع!$A:$B,2,FALSE),"⚠️ المشروع غير موجود"))</f>
        <v/>
      </c>
      <c r="J220" t="str">
        <f t="shared" si="9"/>
        <v/>
      </c>
      <c r="O220" t="str">
        <f>IF(A220="","", SUMIFS(التحصيلات!$E:$E, التحصيلات!$I:$I, A220))</f>
        <v/>
      </c>
      <c r="P220" t="str">
        <f t="shared" si="10"/>
        <v/>
      </c>
      <c r="S220" t="str">
        <f>IF(A220="","", SUMIFS(جدول [2]الأقساط!$E:$E, جدول [2]الأقساط!$B:$B, A220))</f>
        <v/>
      </c>
      <c r="T220" t="str">
        <f t="shared" si="11"/>
        <v/>
      </c>
    </row>
    <row r="221" spans="3:20" x14ac:dyDescent="0.25">
      <c r="C221" t="str">
        <f>IF(B221="","",IFERROR(VLOOKUP(B221,المشاريع!$A:$B,2,FALSE),"⚠️ المشروع غير موجود"))</f>
        <v/>
      </c>
      <c r="J221" t="str">
        <f t="shared" si="9"/>
        <v/>
      </c>
      <c r="O221" t="str">
        <f>IF(A221="","", SUMIFS(التحصيلات!$E:$E, التحصيلات!$I:$I, A221))</f>
        <v/>
      </c>
      <c r="P221" t="str">
        <f t="shared" si="10"/>
        <v/>
      </c>
      <c r="S221" t="str">
        <f>IF(A221="","", SUMIFS(جدول [2]الأقساط!$E:$E, جدول [2]الأقساط!$B:$B, A221))</f>
        <v/>
      </c>
      <c r="T221" t="str">
        <f t="shared" si="11"/>
        <v/>
      </c>
    </row>
    <row r="222" spans="3:20" x14ac:dyDescent="0.25">
      <c r="C222" t="str">
        <f>IF(B222="","",IFERROR(VLOOKUP(B222,المشاريع!$A:$B,2,FALSE),"⚠️ المشروع غير موجود"))</f>
        <v/>
      </c>
      <c r="J222" t="str">
        <f t="shared" si="9"/>
        <v/>
      </c>
      <c r="O222" t="str">
        <f>IF(A222="","", SUMIFS(التحصيلات!$E:$E, التحصيلات!$I:$I, A222))</f>
        <v/>
      </c>
      <c r="P222" t="str">
        <f t="shared" si="10"/>
        <v/>
      </c>
      <c r="S222" t="str">
        <f>IF(A222="","", SUMIFS(جدول [2]الأقساط!$E:$E, جدول [2]الأقساط!$B:$B, A222))</f>
        <v/>
      </c>
      <c r="T222" t="str">
        <f t="shared" si="11"/>
        <v/>
      </c>
    </row>
    <row r="223" spans="3:20" x14ac:dyDescent="0.25">
      <c r="C223" t="str">
        <f>IF(B223="","",IFERROR(VLOOKUP(B223,المشاريع!$A:$B,2,FALSE),"⚠️ المشروع غير موجود"))</f>
        <v/>
      </c>
      <c r="J223" t="str">
        <f t="shared" si="9"/>
        <v/>
      </c>
      <c r="O223" t="str">
        <f>IF(A223="","", SUMIFS(التحصيلات!$E:$E, التحصيلات!$I:$I, A223))</f>
        <v/>
      </c>
      <c r="P223" t="str">
        <f t="shared" si="10"/>
        <v/>
      </c>
      <c r="S223" t="str">
        <f>IF(A223="","", SUMIFS(جدول [2]الأقساط!$E:$E, جدول [2]الأقساط!$B:$B, A223))</f>
        <v/>
      </c>
      <c r="T223" t="str">
        <f t="shared" si="11"/>
        <v/>
      </c>
    </row>
    <row r="224" spans="3:20" x14ac:dyDescent="0.25">
      <c r="C224" t="str">
        <f>IF(B224="","",IFERROR(VLOOKUP(B224,المشاريع!$A:$B,2,FALSE),"⚠️ المشروع غير موجود"))</f>
        <v/>
      </c>
      <c r="J224" t="str">
        <f t="shared" si="9"/>
        <v/>
      </c>
      <c r="O224" t="str">
        <f>IF(A224="","", SUMIFS(التحصيلات!$E:$E, التحصيلات!$I:$I, A224))</f>
        <v/>
      </c>
      <c r="P224" t="str">
        <f t="shared" si="10"/>
        <v/>
      </c>
      <c r="S224" t="str">
        <f>IF(A224="","", SUMIFS(جدول [2]الأقساط!$E:$E, جدول [2]الأقساط!$B:$B, A224))</f>
        <v/>
      </c>
      <c r="T224" t="str">
        <f t="shared" si="11"/>
        <v/>
      </c>
    </row>
    <row r="225" spans="3:20" x14ac:dyDescent="0.25">
      <c r="C225" t="str">
        <f>IF(B225="","",IFERROR(VLOOKUP(B225,المشاريع!$A:$B,2,FALSE),"⚠️ المشروع غير موجود"))</f>
        <v/>
      </c>
      <c r="J225" t="str">
        <f t="shared" si="9"/>
        <v/>
      </c>
      <c r="O225" t="str">
        <f>IF(A225="","", SUMIFS(التحصيلات!$E:$E, التحصيلات!$I:$I, A225))</f>
        <v/>
      </c>
      <c r="P225" t="str">
        <f t="shared" si="10"/>
        <v/>
      </c>
      <c r="S225" t="str">
        <f>IF(A225="","", SUMIFS(جدول [2]الأقساط!$E:$E, جدول [2]الأقساط!$B:$B, A225))</f>
        <v/>
      </c>
      <c r="T225" t="str">
        <f t="shared" si="11"/>
        <v/>
      </c>
    </row>
    <row r="226" spans="3:20" x14ac:dyDescent="0.25">
      <c r="C226" t="str">
        <f>IF(B226="","",IFERROR(VLOOKUP(B226,المشاريع!$A:$B,2,FALSE),"⚠️ المشروع غير موجود"))</f>
        <v/>
      </c>
      <c r="J226" t="str">
        <f t="shared" si="9"/>
        <v/>
      </c>
      <c r="O226" t="str">
        <f>IF(A226="","", SUMIFS(التحصيلات!$E:$E, التحصيلات!$I:$I, A226))</f>
        <v/>
      </c>
      <c r="P226" t="str">
        <f t="shared" si="10"/>
        <v/>
      </c>
      <c r="S226" t="str">
        <f>IF(A226="","", SUMIFS(جدول [2]الأقساط!$E:$E, جدول [2]الأقساط!$B:$B, A226))</f>
        <v/>
      </c>
      <c r="T226" t="str">
        <f t="shared" si="11"/>
        <v/>
      </c>
    </row>
    <row r="227" spans="3:20" x14ac:dyDescent="0.25">
      <c r="C227" t="str">
        <f>IF(B227="","",IFERROR(VLOOKUP(B227,المشاريع!$A:$B,2,FALSE),"⚠️ المشروع غير موجود"))</f>
        <v/>
      </c>
      <c r="J227" t="str">
        <f t="shared" si="9"/>
        <v/>
      </c>
      <c r="O227" t="str">
        <f>IF(A227="","", SUMIFS(التحصيلات!$E:$E, التحصيلات!$I:$I, A227))</f>
        <v/>
      </c>
      <c r="P227" t="str">
        <f t="shared" si="10"/>
        <v/>
      </c>
      <c r="S227" t="str">
        <f>IF(A227="","", SUMIFS(جدول [2]الأقساط!$E:$E, جدول [2]الأقساط!$B:$B, A227))</f>
        <v/>
      </c>
      <c r="T227" t="str">
        <f t="shared" si="11"/>
        <v/>
      </c>
    </row>
    <row r="228" spans="3:20" x14ac:dyDescent="0.25">
      <c r="C228" t="str">
        <f>IF(B228="","",IFERROR(VLOOKUP(B228,المشاريع!$A:$B,2,FALSE),"⚠️ المشروع غير موجود"))</f>
        <v/>
      </c>
      <c r="J228" t="str">
        <f t="shared" si="9"/>
        <v/>
      </c>
      <c r="O228" t="str">
        <f>IF(A228="","", SUMIFS(التحصيلات!$E:$E, التحصيلات!$I:$I, A228))</f>
        <v/>
      </c>
      <c r="P228" t="str">
        <f t="shared" si="10"/>
        <v/>
      </c>
      <c r="S228" t="str">
        <f>IF(A228="","", SUMIFS(جدول [2]الأقساط!$E:$E, جدول [2]الأقساط!$B:$B, A228))</f>
        <v/>
      </c>
      <c r="T228" t="str">
        <f t="shared" si="11"/>
        <v/>
      </c>
    </row>
    <row r="229" spans="3:20" x14ac:dyDescent="0.25">
      <c r="C229" t="str">
        <f>IF(B229="","",IFERROR(VLOOKUP(B229,المشاريع!$A:$B,2,FALSE),"⚠️ المشروع غير موجود"))</f>
        <v/>
      </c>
      <c r="J229" t="str">
        <f t="shared" si="9"/>
        <v/>
      </c>
      <c r="O229" t="str">
        <f>IF(A229="","", SUMIFS(التحصيلات!$E:$E, التحصيلات!$I:$I, A229))</f>
        <v/>
      </c>
      <c r="P229" t="str">
        <f t="shared" si="10"/>
        <v/>
      </c>
      <c r="S229" t="str">
        <f>IF(A229="","", SUMIFS(جدول [2]الأقساط!$E:$E, جدول [2]الأقساط!$B:$B, A229))</f>
        <v/>
      </c>
      <c r="T229" t="str">
        <f t="shared" si="11"/>
        <v/>
      </c>
    </row>
    <row r="230" spans="3:20" x14ac:dyDescent="0.25">
      <c r="C230" t="str">
        <f>IF(B230="","",IFERROR(VLOOKUP(B230,المشاريع!$A:$B,2,FALSE),"⚠️ المشروع غير موجود"))</f>
        <v/>
      </c>
      <c r="J230" t="str">
        <f t="shared" si="9"/>
        <v/>
      </c>
      <c r="O230" t="str">
        <f>IF(A230="","", SUMIFS(التحصيلات!$E:$E, التحصيلات!$I:$I, A230))</f>
        <v/>
      </c>
      <c r="P230" t="str">
        <f t="shared" si="10"/>
        <v/>
      </c>
      <c r="S230" t="str">
        <f>IF(A230="","", SUMIFS(جدول [2]الأقساط!$E:$E, جدول [2]الأقساط!$B:$B, A230))</f>
        <v/>
      </c>
      <c r="T230" t="str">
        <f t="shared" si="11"/>
        <v/>
      </c>
    </row>
    <row r="231" spans="3:20" x14ac:dyDescent="0.25">
      <c r="C231" t="str">
        <f>IF(B231="","",IFERROR(VLOOKUP(B231,المشاريع!$A:$B,2,FALSE),"⚠️ المشروع غير موجود"))</f>
        <v/>
      </c>
      <c r="J231" t="str">
        <f t="shared" si="9"/>
        <v/>
      </c>
      <c r="O231" t="str">
        <f>IF(A231="","", SUMIFS(التحصيلات!$E:$E, التحصيلات!$I:$I, A231))</f>
        <v/>
      </c>
      <c r="P231" t="str">
        <f t="shared" si="10"/>
        <v/>
      </c>
      <c r="S231" t="str">
        <f>IF(A231="","", SUMIFS(جدول [2]الأقساط!$E:$E, جدول [2]الأقساط!$B:$B, A231))</f>
        <v/>
      </c>
      <c r="T231" t="str">
        <f t="shared" si="11"/>
        <v/>
      </c>
    </row>
    <row r="232" spans="3:20" x14ac:dyDescent="0.25">
      <c r="C232" t="str">
        <f>IF(B232="","",IFERROR(VLOOKUP(B232,المشاريع!$A:$B,2,FALSE),"⚠️ المشروع غير موجود"))</f>
        <v/>
      </c>
      <c r="J232" t="str">
        <f t="shared" si="9"/>
        <v/>
      </c>
      <c r="O232" t="str">
        <f>IF(A232="","", SUMIFS(التحصيلات!$E:$E, التحصيلات!$I:$I, A232))</f>
        <v/>
      </c>
      <c r="P232" t="str">
        <f t="shared" si="10"/>
        <v/>
      </c>
      <c r="S232" t="str">
        <f>IF(A232="","", SUMIFS(جدول [2]الأقساط!$E:$E, جدول [2]الأقساط!$B:$B, A232))</f>
        <v/>
      </c>
      <c r="T232" t="str">
        <f t="shared" si="11"/>
        <v/>
      </c>
    </row>
    <row r="233" spans="3:20" x14ac:dyDescent="0.25">
      <c r="C233" t="str">
        <f>IF(B233="","",IFERROR(VLOOKUP(B233,المشاريع!$A:$B,2,FALSE),"⚠️ المشروع غير موجود"))</f>
        <v/>
      </c>
      <c r="J233" t="str">
        <f t="shared" si="9"/>
        <v/>
      </c>
      <c r="O233" t="str">
        <f>IF(A233="","", SUMIFS(التحصيلات!$E:$E, التحصيلات!$I:$I, A233))</f>
        <v/>
      </c>
      <c r="P233" t="str">
        <f t="shared" si="10"/>
        <v/>
      </c>
      <c r="S233" t="str">
        <f>IF(A233="","", SUMIFS(جدول [2]الأقساط!$E:$E, جدول [2]الأقساط!$B:$B, A233))</f>
        <v/>
      </c>
      <c r="T233" t="str">
        <f t="shared" si="11"/>
        <v/>
      </c>
    </row>
    <row r="234" spans="3:20" x14ac:dyDescent="0.25">
      <c r="C234" t="str">
        <f>IF(B234="","",IFERROR(VLOOKUP(B234,المشاريع!$A:$B,2,FALSE),"⚠️ المشروع غير موجود"))</f>
        <v/>
      </c>
      <c r="J234" t="str">
        <f t="shared" si="9"/>
        <v/>
      </c>
      <c r="O234" t="str">
        <f>IF(A234="","", SUMIFS(التحصيلات!$E:$E, التحصيلات!$I:$I, A234))</f>
        <v/>
      </c>
      <c r="P234" t="str">
        <f t="shared" si="10"/>
        <v/>
      </c>
      <c r="S234" t="str">
        <f>IF(A234="","", SUMIFS(جدول [2]الأقساط!$E:$E, جدول [2]الأقساط!$B:$B, A234))</f>
        <v/>
      </c>
      <c r="T234" t="str">
        <f t="shared" si="11"/>
        <v/>
      </c>
    </row>
    <row r="235" spans="3:20" x14ac:dyDescent="0.25">
      <c r="C235" t="str">
        <f>IF(B235="","",IFERROR(VLOOKUP(B235,المشاريع!$A:$B,2,FALSE),"⚠️ المشروع غير موجود"))</f>
        <v/>
      </c>
      <c r="J235" t="str">
        <f t="shared" si="9"/>
        <v/>
      </c>
      <c r="O235" t="str">
        <f>IF(A235="","", SUMIFS(التحصيلات!$E:$E, التحصيلات!$I:$I, A235))</f>
        <v/>
      </c>
      <c r="P235" t="str">
        <f t="shared" si="10"/>
        <v/>
      </c>
      <c r="S235" t="str">
        <f>IF(A235="","", SUMIFS(جدول [2]الأقساط!$E:$E, جدول [2]الأقساط!$B:$B, A235))</f>
        <v/>
      </c>
      <c r="T235" t="str">
        <f t="shared" si="11"/>
        <v/>
      </c>
    </row>
    <row r="236" spans="3:20" x14ac:dyDescent="0.25">
      <c r="C236" t="str">
        <f>IF(B236="","",IFERROR(VLOOKUP(B236,المشاريع!$A:$B,2,FALSE),"⚠️ المشروع غير موجود"))</f>
        <v/>
      </c>
      <c r="J236" t="str">
        <f t="shared" si="9"/>
        <v/>
      </c>
      <c r="O236" t="str">
        <f>IF(A236="","", SUMIFS(التحصيلات!$E:$E, التحصيلات!$I:$I, A236))</f>
        <v/>
      </c>
      <c r="P236" t="str">
        <f t="shared" si="10"/>
        <v/>
      </c>
      <c r="S236" t="str">
        <f>IF(A236="","", SUMIFS(جدول [2]الأقساط!$E:$E, جدول [2]الأقساط!$B:$B, A236))</f>
        <v/>
      </c>
      <c r="T236" t="str">
        <f t="shared" si="11"/>
        <v/>
      </c>
    </row>
    <row r="237" spans="3:20" x14ac:dyDescent="0.25">
      <c r="C237" t="str">
        <f>IF(B237="","",IFERROR(VLOOKUP(B237,المشاريع!$A:$B,2,FALSE),"⚠️ المشروع غير موجود"))</f>
        <v/>
      </c>
      <c r="J237" t="str">
        <f t="shared" si="9"/>
        <v/>
      </c>
      <c r="O237" t="str">
        <f>IF(A237="","", SUMIFS(التحصيلات!$E:$E, التحصيلات!$I:$I, A237))</f>
        <v/>
      </c>
      <c r="P237" t="str">
        <f t="shared" si="10"/>
        <v/>
      </c>
      <c r="S237" t="str">
        <f>IF(A237="","", SUMIFS(جدول [2]الأقساط!$E:$E, جدول [2]الأقساط!$B:$B, A237))</f>
        <v/>
      </c>
      <c r="T237" t="str">
        <f t="shared" si="11"/>
        <v/>
      </c>
    </row>
    <row r="238" spans="3:20" x14ac:dyDescent="0.25">
      <c r="C238" t="str">
        <f>IF(B238="","",IFERROR(VLOOKUP(B238,المشاريع!$A:$B,2,FALSE),"⚠️ المشروع غير موجود"))</f>
        <v/>
      </c>
      <c r="J238" t="str">
        <f t="shared" si="9"/>
        <v/>
      </c>
      <c r="O238" t="str">
        <f>IF(A238="","", SUMIFS(التحصيلات!$E:$E, التحصيلات!$I:$I, A238))</f>
        <v/>
      </c>
      <c r="P238" t="str">
        <f t="shared" si="10"/>
        <v/>
      </c>
      <c r="S238" t="str">
        <f>IF(A238="","", SUMIFS(جدول [2]الأقساط!$E:$E, جدول [2]الأقساط!$B:$B, A238))</f>
        <v/>
      </c>
      <c r="T238" t="str">
        <f t="shared" si="11"/>
        <v/>
      </c>
    </row>
    <row r="239" spans="3:20" x14ac:dyDescent="0.25">
      <c r="C239" t="str">
        <f>IF(B239="","",IFERROR(VLOOKUP(B239,المشاريع!$A:$B,2,FALSE),"⚠️ المشروع غير موجود"))</f>
        <v/>
      </c>
      <c r="J239" t="str">
        <f t="shared" si="9"/>
        <v/>
      </c>
      <c r="O239" t="str">
        <f>IF(A239="","", SUMIFS(التحصيلات!$E:$E, التحصيلات!$I:$I, A239))</f>
        <v/>
      </c>
      <c r="P239" t="str">
        <f t="shared" si="10"/>
        <v/>
      </c>
      <c r="S239" t="str">
        <f>IF(A239="","", SUMIFS(جدول [2]الأقساط!$E:$E, جدول [2]الأقساط!$B:$B, A239))</f>
        <v/>
      </c>
      <c r="T239" t="str">
        <f t="shared" si="11"/>
        <v/>
      </c>
    </row>
    <row r="240" spans="3:20" x14ac:dyDescent="0.25">
      <c r="C240" t="str">
        <f>IF(B240="","",IFERROR(VLOOKUP(B240,المشاريع!$A:$B,2,FALSE),"⚠️ المشروع غير موجود"))</f>
        <v/>
      </c>
      <c r="J240" t="str">
        <f t="shared" si="9"/>
        <v/>
      </c>
      <c r="O240" t="str">
        <f>IF(A240="","", SUMIFS(التحصيلات!$E:$E, التحصيلات!$I:$I, A240))</f>
        <v/>
      </c>
      <c r="P240" t="str">
        <f t="shared" si="10"/>
        <v/>
      </c>
      <c r="S240" t="str">
        <f>IF(A240="","", SUMIFS(جدول [2]الأقساط!$E:$E, جدول [2]الأقساط!$B:$B, A240))</f>
        <v/>
      </c>
      <c r="T240" t="str">
        <f t="shared" si="11"/>
        <v/>
      </c>
    </row>
    <row r="241" spans="3:20" x14ac:dyDescent="0.25">
      <c r="C241" t="str">
        <f>IF(B241="","",IFERROR(VLOOKUP(B241,المشاريع!$A:$B,2,FALSE),"⚠️ المشروع غير موجود"))</f>
        <v/>
      </c>
      <c r="J241" t="str">
        <f t="shared" si="9"/>
        <v/>
      </c>
      <c r="O241" t="str">
        <f>IF(A241="","", SUMIFS(التحصيلات!$E:$E, التحصيلات!$I:$I, A241))</f>
        <v/>
      </c>
      <c r="P241" t="str">
        <f t="shared" si="10"/>
        <v/>
      </c>
      <c r="S241" t="str">
        <f>IF(A241="","", SUMIFS(جدول [2]الأقساط!$E:$E, جدول [2]الأقساط!$B:$B, A241))</f>
        <v/>
      </c>
      <c r="T241" t="str">
        <f t="shared" si="11"/>
        <v/>
      </c>
    </row>
    <row r="242" spans="3:20" x14ac:dyDescent="0.25">
      <c r="C242" t="str">
        <f>IF(B242="","",IFERROR(VLOOKUP(B242,المشاريع!$A:$B,2,FALSE),"⚠️ المشروع غير موجود"))</f>
        <v/>
      </c>
      <c r="J242" t="str">
        <f t="shared" si="9"/>
        <v/>
      </c>
      <c r="O242" t="str">
        <f>IF(A242="","", SUMIFS(التحصيلات!$E:$E, التحصيلات!$I:$I, A242))</f>
        <v/>
      </c>
      <c r="P242" t="str">
        <f t="shared" si="10"/>
        <v/>
      </c>
      <c r="S242" t="str">
        <f>IF(A242="","", SUMIFS(جدول [2]الأقساط!$E:$E, جدول [2]الأقساط!$B:$B, A242))</f>
        <v/>
      </c>
      <c r="T242" t="str">
        <f t="shared" si="11"/>
        <v/>
      </c>
    </row>
    <row r="243" spans="3:20" x14ac:dyDescent="0.25">
      <c r="C243" t="str">
        <f>IF(B243="","",IFERROR(VLOOKUP(B243,المشاريع!$A:$B,2,FALSE),"⚠️ المشروع غير موجود"))</f>
        <v/>
      </c>
      <c r="J243" t="str">
        <f t="shared" si="9"/>
        <v/>
      </c>
      <c r="O243" t="str">
        <f>IF(A243="","", SUMIFS(التحصيلات!$E:$E, التحصيلات!$I:$I, A243))</f>
        <v/>
      </c>
      <c r="P243" t="str">
        <f t="shared" si="10"/>
        <v/>
      </c>
      <c r="S243" t="str">
        <f>IF(A243="","", SUMIFS(جدول [2]الأقساط!$E:$E, جدول [2]الأقساط!$B:$B, A243))</f>
        <v/>
      </c>
      <c r="T243" t="str">
        <f t="shared" si="11"/>
        <v/>
      </c>
    </row>
    <row r="244" spans="3:20" x14ac:dyDescent="0.25">
      <c r="C244" t="str">
        <f>IF(B244="","",IFERROR(VLOOKUP(B244,المشاريع!$A:$B,2,FALSE),"⚠️ المشروع غير موجود"))</f>
        <v/>
      </c>
      <c r="J244" t="str">
        <f t="shared" si="9"/>
        <v/>
      </c>
      <c r="O244" t="str">
        <f>IF(A244="","", SUMIFS(التحصيلات!$E:$E, التحصيلات!$I:$I, A244))</f>
        <v/>
      </c>
      <c r="P244" t="str">
        <f t="shared" si="10"/>
        <v/>
      </c>
      <c r="S244" t="str">
        <f>IF(A244="","", SUMIFS(جدول [2]الأقساط!$E:$E, جدول [2]الأقساط!$B:$B, A244))</f>
        <v/>
      </c>
      <c r="T244" t="str">
        <f t="shared" si="11"/>
        <v/>
      </c>
    </row>
    <row r="245" spans="3:20" x14ac:dyDescent="0.25">
      <c r="C245" t="str">
        <f>IF(B245="","",IFERROR(VLOOKUP(B245,المشاريع!$A:$B,2,FALSE),"⚠️ المشروع غير موجود"))</f>
        <v/>
      </c>
      <c r="J245" t="str">
        <f t="shared" si="9"/>
        <v/>
      </c>
      <c r="O245" t="str">
        <f>IF(A245="","", SUMIFS(التحصيلات!$E:$E, التحصيلات!$I:$I, A245))</f>
        <v/>
      </c>
      <c r="P245" t="str">
        <f t="shared" si="10"/>
        <v/>
      </c>
      <c r="S245" t="str">
        <f>IF(A245="","", SUMIFS(جدول [2]الأقساط!$E:$E, جدول [2]الأقساط!$B:$B, A245))</f>
        <v/>
      </c>
      <c r="T245" t="str">
        <f t="shared" si="11"/>
        <v/>
      </c>
    </row>
    <row r="246" spans="3:20" x14ac:dyDescent="0.25">
      <c r="C246" t="str">
        <f>IF(B246="","",IFERROR(VLOOKUP(B246,المشاريع!$A:$B,2,FALSE),"⚠️ المشروع غير موجود"))</f>
        <v/>
      </c>
      <c r="J246" t="str">
        <f t="shared" si="9"/>
        <v/>
      </c>
      <c r="O246" t="str">
        <f>IF(A246="","", SUMIFS(التحصيلات!$E:$E, التحصيلات!$I:$I, A246))</f>
        <v/>
      </c>
      <c r="P246" t="str">
        <f t="shared" si="10"/>
        <v/>
      </c>
      <c r="S246" t="str">
        <f>IF(A246="","", SUMIFS(جدول [2]الأقساط!$E:$E, جدول [2]الأقساط!$B:$B, A246))</f>
        <v/>
      </c>
      <c r="T246" t="str">
        <f t="shared" si="11"/>
        <v/>
      </c>
    </row>
    <row r="247" spans="3:20" x14ac:dyDescent="0.25">
      <c r="C247" t="str">
        <f>IF(B247="","",IFERROR(VLOOKUP(B247,المشاريع!$A:$B,2,FALSE),"⚠️ المشروع غير موجود"))</f>
        <v/>
      </c>
      <c r="J247" t="str">
        <f t="shared" si="9"/>
        <v/>
      </c>
      <c r="O247" t="str">
        <f>IF(A247="","", SUMIFS(التحصيلات!$E:$E, التحصيلات!$I:$I, A247))</f>
        <v/>
      </c>
      <c r="P247" t="str">
        <f t="shared" si="10"/>
        <v/>
      </c>
      <c r="S247" t="str">
        <f>IF(A247="","", SUMIFS(جدول [2]الأقساط!$E:$E, جدول [2]الأقساط!$B:$B, A247))</f>
        <v/>
      </c>
      <c r="T247" t="str">
        <f t="shared" si="11"/>
        <v/>
      </c>
    </row>
    <row r="248" spans="3:20" x14ac:dyDescent="0.25">
      <c r="C248" t="str">
        <f>IF(B248="","",IFERROR(VLOOKUP(B248,المشاريع!$A:$B,2,FALSE),"⚠️ المشروع غير موجود"))</f>
        <v/>
      </c>
      <c r="J248" t="str">
        <f t="shared" si="9"/>
        <v/>
      </c>
      <c r="O248" t="str">
        <f>IF(A248="","", SUMIFS(التحصيلات!$E:$E, التحصيلات!$I:$I, A248))</f>
        <v/>
      </c>
      <c r="P248" t="str">
        <f t="shared" si="10"/>
        <v/>
      </c>
      <c r="S248" t="str">
        <f>IF(A248="","", SUMIFS(جدول [2]الأقساط!$E:$E, جدول [2]الأقساط!$B:$B, A248))</f>
        <v/>
      </c>
      <c r="T248" t="str">
        <f t="shared" si="11"/>
        <v/>
      </c>
    </row>
    <row r="249" spans="3:20" x14ac:dyDescent="0.25">
      <c r="C249" t="str">
        <f>IF(B249="","",IFERROR(VLOOKUP(B249,المشاريع!$A:$B,2,FALSE),"⚠️ المشروع غير موجود"))</f>
        <v/>
      </c>
      <c r="J249" t="str">
        <f t="shared" si="9"/>
        <v/>
      </c>
      <c r="O249" t="str">
        <f>IF(A249="","", SUMIFS(التحصيلات!$E:$E, التحصيلات!$I:$I, A249))</f>
        <v/>
      </c>
      <c r="P249" t="str">
        <f t="shared" si="10"/>
        <v/>
      </c>
      <c r="S249" t="str">
        <f>IF(A249="","", SUMIFS(جدول [2]الأقساط!$E:$E, جدول [2]الأقساط!$B:$B, A249))</f>
        <v/>
      </c>
      <c r="T249" t="str">
        <f t="shared" si="11"/>
        <v/>
      </c>
    </row>
    <row r="250" spans="3:20" x14ac:dyDescent="0.25">
      <c r="C250" t="str">
        <f>IF(B250="","",IFERROR(VLOOKUP(B250,المشاريع!$A:$B,2,FALSE),"⚠️ المشروع غير موجود"))</f>
        <v/>
      </c>
      <c r="J250" t="str">
        <f t="shared" si="9"/>
        <v/>
      </c>
      <c r="O250" t="str">
        <f>IF(A250="","", SUMIFS(التحصيلات!$E:$E, التحصيلات!$I:$I, A250))</f>
        <v/>
      </c>
      <c r="P250" t="str">
        <f t="shared" si="10"/>
        <v/>
      </c>
      <c r="S250" t="str">
        <f>IF(A250="","", SUMIFS(جدول [2]الأقساط!$E:$E, جدول [2]الأقساط!$B:$B, A250))</f>
        <v/>
      </c>
      <c r="T250" t="str">
        <f t="shared" si="11"/>
        <v/>
      </c>
    </row>
    <row r="251" spans="3:20" x14ac:dyDescent="0.25">
      <c r="C251" t="str">
        <f>IF(B251="","",IFERROR(VLOOKUP(B251,المشاريع!$A:$B,2,FALSE),"⚠️ المشروع غير موجود"))</f>
        <v/>
      </c>
      <c r="J251" t="str">
        <f t="shared" si="9"/>
        <v/>
      </c>
      <c r="O251" t="str">
        <f>IF(A251="","", SUMIFS(التحصيلات!$E:$E, التحصيلات!$I:$I, A251))</f>
        <v/>
      </c>
      <c r="P251" t="str">
        <f t="shared" si="10"/>
        <v/>
      </c>
      <c r="S251" t="str">
        <f>IF(A251="","", SUMIFS(جدول [2]الأقساط!$E:$E, جدول [2]الأقساط!$B:$B, A251))</f>
        <v/>
      </c>
      <c r="T251" t="str">
        <f t="shared" si="11"/>
        <v/>
      </c>
    </row>
    <row r="252" spans="3:20" x14ac:dyDescent="0.25">
      <c r="C252" t="str">
        <f>IF(B252="","",IFERROR(VLOOKUP(B252,المشاريع!$A:$B,2,FALSE),"⚠️ المشروع غير موجود"))</f>
        <v/>
      </c>
      <c r="J252" t="str">
        <f t="shared" si="9"/>
        <v/>
      </c>
      <c r="O252" t="str">
        <f>IF(A252="","", SUMIFS(التحصيلات!$E:$E, التحصيلات!$I:$I, A252))</f>
        <v/>
      </c>
      <c r="P252" t="str">
        <f t="shared" si="10"/>
        <v/>
      </c>
      <c r="S252" t="str">
        <f>IF(A252="","", SUMIFS(جدول [2]الأقساط!$E:$E, جدول [2]الأقساط!$B:$B, A252))</f>
        <v/>
      </c>
      <c r="T252" t="str">
        <f t="shared" si="11"/>
        <v/>
      </c>
    </row>
    <row r="253" spans="3:20" x14ac:dyDescent="0.25">
      <c r="C253" t="str">
        <f>IF(B253="","",IFERROR(VLOOKUP(B253,المشاريع!$A:$B,2,FALSE),"⚠️ المشروع غير موجود"))</f>
        <v/>
      </c>
      <c r="J253" t="str">
        <f t="shared" si="9"/>
        <v/>
      </c>
      <c r="O253" t="str">
        <f>IF(A253="","", SUMIFS(التحصيلات!$E:$E, التحصيلات!$I:$I, A253))</f>
        <v/>
      </c>
      <c r="P253" t="str">
        <f t="shared" si="10"/>
        <v/>
      </c>
      <c r="S253" t="str">
        <f>IF(A253="","", SUMIFS(جدول [2]الأقساط!$E:$E, جدول [2]الأقساط!$B:$B, A253))</f>
        <v/>
      </c>
      <c r="T253" t="str">
        <f t="shared" si="11"/>
        <v/>
      </c>
    </row>
    <row r="254" spans="3:20" x14ac:dyDescent="0.25">
      <c r="C254" t="str">
        <f>IF(B254="","",IFERROR(VLOOKUP(B254,المشاريع!$A:$B,2,FALSE),"⚠️ المشروع غير موجود"))</f>
        <v/>
      </c>
      <c r="J254" t="str">
        <f t="shared" si="9"/>
        <v/>
      </c>
      <c r="O254" t="str">
        <f>IF(A254="","", SUMIFS(التحصيلات!$E:$E, التحصيلات!$I:$I, A254))</f>
        <v/>
      </c>
      <c r="P254" t="str">
        <f t="shared" si="10"/>
        <v/>
      </c>
      <c r="S254" t="str">
        <f>IF(A254="","", SUMIFS(جدول [2]الأقساط!$E:$E, جدول [2]الأقساط!$B:$B, A254))</f>
        <v/>
      </c>
      <c r="T254" t="str">
        <f t="shared" si="11"/>
        <v/>
      </c>
    </row>
    <row r="255" spans="3:20" x14ac:dyDescent="0.25">
      <c r="C255" t="str">
        <f>IF(B255="","",IFERROR(VLOOKUP(B255,المشاريع!$A:$B,2,FALSE),"⚠️ المشروع غير موجود"))</f>
        <v/>
      </c>
      <c r="J255" t="str">
        <f t="shared" si="9"/>
        <v/>
      </c>
      <c r="O255" t="str">
        <f>IF(A255="","", SUMIFS(التحصيلات!$E:$E, التحصيلات!$I:$I, A255))</f>
        <v/>
      </c>
      <c r="P255" t="str">
        <f t="shared" si="10"/>
        <v/>
      </c>
      <c r="S255" t="str">
        <f>IF(A255="","", SUMIFS(جدول [2]الأقساط!$E:$E, جدول [2]الأقساط!$B:$B, A255))</f>
        <v/>
      </c>
      <c r="T255" t="str">
        <f t="shared" si="11"/>
        <v/>
      </c>
    </row>
    <row r="256" spans="3:20" x14ac:dyDescent="0.25">
      <c r="C256" t="str">
        <f>IF(B256="","",IFERROR(VLOOKUP(B256,المشاريع!$A:$B,2,FALSE),"⚠️ المشروع غير موجود"))</f>
        <v/>
      </c>
      <c r="J256" t="str">
        <f t="shared" si="9"/>
        <v/>
      </c>
      <c r="O256" t="str">
        <f>IF(A256="","", SUMIFS(التحصيلات!$E:$E, التحصيلات!$I:$I, A256))</f>
        <v/>
      </c>
      <c r="P256" t="str">
        <f t="shared" si="10"/>
        <v/>
      </c>
      <c r="S256" t="str">
        <f>IF(A256="","", SUMIFS(جدول [2]الأقساط!$E:$E, جدول [2]الأقساط!$B:$B, A256))</f>
        <v/>
      </c>
      <c r="T256" t="str">
        <f t="shared" si="11"/>
        <v/>
      </c>
    </row>
    <row r="257" spans="3:20" x14ac:dyDescent="0.25">
      <c r="C257" t="str">
        <f>IF(B257="","",IFERROR(VLOOKUP(B257,المشاريع!$A:$B,2,FALSE),"⚠️ المشروع غير موجود"))</f>
        <v/>
      </c>
      <c r="J257" t="str">
        <f t="shared" si="9"/>
        <v/>
      </c>
      <c r="O257" t="str">
        <f>IF(A257="","", SUMIFS(التحصيلات!$E:$E, التحصيلات!$I:$I, A257))</f>
        <v/>
      </c>
      <c r="P257" t="str">
        <f t="shared" si="10"/>
        <v/>
      </c>
      <c r="S257" t="str">
        <f>IF(A257="","", SUMIFS(جدول [2]الأقساط!$E:$E, جدول [2]الأقساط!$B:$B, A257))</f>
        <v/>
      </c>
      <c r="T257" t="str">
        <f t="shared" si="11"/>
        <v/>
      </c>
    </row>
    <row r="258" spans="3:20" x14ac:dyDescent="0.25">
      <c r="C258" t="str">
        <f>IF(B258="","",IFERROR(VLOOKUP(B258,المشاريع!$A:$B,2,FALSE),"⚠️ المشروع غير موجود"))</f>
        <v/>
      </c>
      <c r="J258" t="str">
        <f t="shared" si="9"/>
        <v/>
      </c>
      <c r="O258" t="str">
        <f>IF(A258="","", SUMIFS(التحصيلات!$E:$E, التحصيلات!$I:$I, A258))</f>
        <v/>
      </c>
      <c r="P258" t="str">
        <f t="shared" si="10"/>
        <v/>
      </c>
      <c r="S258" t="str">
        <f>IF(A258="","", SUMIFS(جدول [2]الأقساط!$E:$E, جدول [2]الأقساط!$B:$B, A258))</f>
        <v/>
      </c>
      <c r="T258" t="str">
        <f t="shared" si="11"/>
        <v/>
      </c>
    </row>
    <row r="259" spans="3:20" x14ac:dyDescent="0.25">
      <c r="C259" t="str">
        <f>IF(B259="","",IFERROR(VLOOKUP(B259,المشاريع!$A:$B,2,FALSE),"⚠️ المشروع غير موجود"))</f>
        <v/>
      </c>
      <c r="J259" t="str">
        <f t="shared" ref="J259:J322" si="12">IF(G259="","", G259 - IF(I259="",0,I259))</f>
        <v/>
      </c>
      <c r="O259" t="str">
        <f>IF(A259="","", SUMIFS(التحصيلات!$E:$E, التحصيلات!$I:$I, A259))</f>
        <v/>
      </c>
      <c r="P259" t="str">
        <f t="shared" ref="P259:P322" si="13">IF(G259="","", G259 - O259)</f>
        <v/>
      </c>
      <c r="S259" t="str">
        <f>IF(A259="","", SUMIFS(جدول [2]الأقساط!$E:$E, جدول [2]الأقساط!$B:$B, A259))</f>
        <v/>
      </c>
      <c r="T259" t="str">
        <f t="shared" ref="T259:T322" si="14">IF(A259="","", IF(OR(H259="تقسيط", H259="كاش + تقسيط"), IF(ROUND(ABS(S259-J259),2)&gt;0, "⚠️ جدول الأقساط غير متطابق", "سليم"), "سليم"))</f>
        <v/>
      </c>
    </row>
    <row r="260" spans="3:20" x14ac:dyDescent="0.25">
      <c r="C260" t="str">
        <f>IF(B260="","",IFERROR(VLOOKUP(B260,المشاريع!$A:$B,2,FALSE),"⚠️ المشروع غير موجود"))</f>
        <v/>
      </c>
      <c r="J260" t="str">
        <f t="shared" si="12"/>
        <v/>
      </c>
      <c r="O260" t="str">
        <f>IF(A260="","", SUMIFS(التحصيلات!$E:$E, التحصيلات!$I:$I, A260))</f>
        <v/>
      </c>
      <c r="P260" t="str">
        <f t="shared" si="13"/>
        <v/>
      </c>
      <c r="S260" t="str">
        <f>IF(A260="","", SUMIFS(جدول [2]الأقساط!$E:$E, جدول [2]الأقساط!$B:$B, A260))</f>
        <v/>
      </c>
      <c r="T260" t="str">
        <f t="shared" si="14"/>
        <v/>
      </c>
    </row>
    <row r="261" spans="3:20" x14ac:dyDescent="0.25">
      <c r="C261" t="str">
        <f>IF(B261="","",IFERROR(VLOOKUP(B261,المشاريع!$A:$B,2,FALSE),"⚠️ المشروع غير موجود"))</f>
        <v/>
      </c>
      <c r="J261" t="str">
        <f t="shared" si="12"/>
        <v/>
      </c>
      <c r="O261" t="str">
        <f>IF(A261="","", SUMIFS(التحصيلات!$E:$E, التحصيلات!$I:$I, A261))</f>
        <v/>
      </c>
      <c r="P261" t="str">
        <f t="shared" si="13"/>
        <v/>
      </c>
      <c r="S261" t="str">
        <f>IF(A261="","", SUMIFS(جدول [2]الأقساط!$E:$E, جدول [2]الأقساط!$B:$B, A261))</f>
        <v/>
      </c>
      <c r="T261" t="str">
        <f t="shared" si="14"/>
        <v/>
      </c>
    </row>
    <row r="262" spans="3:20" x14ac:dyDescent="0.25">
      <c r="C262" t="str">
        <f>IF(B262="","",IFERROR(VLOOKUP(B262,المشاريع!$A:$B,2,FALSE),"⚠️ المشروع غير موجود"))</f>
        <v/>
      </c>
      <c r="J262" t="str">
        <f t="shared" si="12"/>
        <v/>
      </c>
      <c r="O262" t="str">
        <f>IF(A262="","", SUMIFS(التحصيلات!$E:$E, التحصيلات!$I:$I, A262))</f>
        <v/>
      </c>
      <c r="P262" t="str">
        <f t="shared" si="13"/>
        <v/>
      </c>
      <c r="S262" t="str">
        <f>IF(A262="","", SUMIFS(جدول [2]الأقساط!$E:$E, جدول [2]الأقساط!$B:$B, A262))</f>
        <v/>
      </c>
      <c r="T262" t="str">
        <f t="shared" si="14"/>
        <v/>
      </c>
    </row>
    <row r="263" spans="3:20" x14ac:dyDescent="0.25">
      <c r="C263" t="str">
        <f>IF(B263="","",IFERROR(VLOOKUP(B263,المشاريع!$A:$B,2,FALSE),"⚠️ المشروع غير موجود"))</f>
        <v/>
      </c>
      <c r="J263" t="str">
        <f t="shared" si="12"/>
        <v/>
      </c>
      <c r="O263" t="str">
        <f>IF(A263="","", SUMIFS(التحصيلات!$E:$E, التحصيلات!$I:$I, A263))</f>
        <v/>
      </c>
      <c r="P263" t="str">
        <f t="shared" si="13"/>
        <v/>
      </c>
      <c r="S263" t="str">
        <f>IF(A263="","", SUMIFS(جدول [2]الأقساط!$E:$E, جدول [2]الأقساط!$B:$B, A263))</f>
        <v/>
      </c>
      <c r="T263" t="str">
        <f t="shared" si="14"/>
        <v/>
      </c>
    </row>
    <row r="264" spans="3:20" x14ac:dyDescent="0.25">
      <c r="C264" t="str">
        <f>IF(B264="","",IFERROR(VLOOKUP(B264,المشاريع!$A:$B,2,FALSE),"⚠️ المشروع غير موجود"))</f>
        <v/>
      </c>
      <c r="J264" t="str">
        <f t="shared" si="12"/>
        <v/>
      </c>
      <c r="O264" t="str">
        <f>IF(A264="","", SUMIFS(التحصيلات!$E:$E, التحصيلات!$I:$I, A264))</f>
        <v/>
      </c>
      <c r="P264" t="str">
        <f t="shared" si="13"/>
        <v/>
      </c>
      <c r="S264" t="str">
        <f>IF(A264="","", SUMIFS(جدول [2]الأقساط!$E:$E, جدول [2]الأقساط!$B:$B, A264))</f>
        <v/>
      </c>
      <c r="T264" t="str">
        <f t="shared" si="14"/>
        <v/>
      </c>
    </row>
    <row r="265" spans="3:20" x14ac:dyDescent="0.25">
      <c r="C265" t="str">
        <f>IF(B265="","",IFERROR(VLOOKUP(B265,المشاريع!$A:$B,2,FALSE),"⚠️ المشروع غير موجود"))</f>
        <v/>
      </c>
      <c r="J265" t="str">
        <f t="shared" si="12"/>
        <v/>
      </c>
      <c r="O265" t="str">
        <f>IF(A265="","", SUMIFS(التحصيلات!$E:$E, التحصيلات!$I:$I, A265))</f>
        <v/>
      </c>
      <c r="P265" t="str">
        <f t="shared" si="13"/>
        <v/>
      </c>
      <c r="S265" t="str">
        <f>IF(A265="","", SUMIFS(جدول [2]الأقساط!$E:$E, جدول [2]الأقساط!$B:$B, A265))</f>
        <v/>
      </c>
      <c r="T265" t="str">
        <f t="shared" si="14"/>
        <v/>
      </c>
    </row>
    <row r="266" spans="3:20" x14ac:dyDescent="0.25">
      <c r="C266" t="str">
        <f>IF(B266="","",IFERROR(VLOOKUP(B266,المشاريع!$A:$B,2,FALSE),"⚠️ المشروع غير موجود"))</f>
        <v/>
      </c>
      <c r="J266" t="str">
        <f t="shared" si="12"/>
        <v/>
      </c>
      <c r="O266" t="str">
        <f>IF(A266="","", SUMIFS(التحصيلات!$E:$E, التحصيلات!$I:$I, A266))</f>
        <v/>
      </c>
      <c r="P266" t="str">
        <f t="shared" si="13"/>
        <v/>
      </c>
      <c r="S266" t="str">
        <f>IF(A266="","", SUMIFS(جدول [2]الأقساط!$E:$E, جدول [2]الأقساط!$B:$B, A266))</f>
        <v/>
      </c>
      <c r="T266" t="str">
        <f t="shared" si="14"/>
        <v/>
      </c>
    </row>
    <row r="267" spans="3:20" x14ac:dyDescent="0.25">
      <c r="C267" t="str">
        <f>IF(B267="","",IFERROR(VLOOKUP(B267,المشاريع!$A:$B,2,FALSE),"⚠️ المشروع غير موجود"))</f>
        <v/>
      </c>
      <c r="J267" t="str">
        <f t="shared" si="12"/>
        <v/>
      </c>
      <c r="O267" t="str">
        <f>IF(A267="","", SUMIFS(التحصيلات!$E:$E, التحصيلات!$I:$I, A267))</f>
        <v/>
      </c>
      <c r="P267" t="str">
        <f t="shared" si="13"/>
        <v/>
      </c>
      <c r="S267" t="str">
        <f>IF(A267="","", SUMIFS(جدول [2]الأقساط!$E:$E, جدول [2]الأقساط!$B:$B, A267))</f>
        <v/>
      </c>
      <c r="T267" t="str">
        <f t="shared" si="14"/>
        <v/>
      </c>
    </row>
    <row r="268" spans="3:20" x14ac:dyDescent="0.25">
      <c r="C268" t="str">
        <f>IF(B268="","",IFERROR(VLOOKUP(B268,المشاريع!$A:$B,2,FALSE),"⚠️ المشروع غير موجود"))</f>
        <v/>
      </c>
      <c r="J268" t="str">
        <f t="shared" si="12"/>
        <v/>
      </c>
      <c r="O268" t="str">
        <f>IF(A268="","", SUMIFS(التحصيلات!$E:$E, التحصيلات!$I:$I, A268))</f>
        <v/>
      </c>
      <c r="P268" t="str">
        <f t="shared" si="13"/>
        <v/>
      </c>
      <c r="S268" t="str">
        <f>IF(A268="","", SUMIFS(جدول [2]الأقساط!$E:$E, جدول [2]الأقساط!$B:$B, A268))</f>
        <v/>
      </c>
      <c r="T268" t="str">
        <f t="shared" si="14"/>
        <v/>
      </c>
    </row>
    <row r="269" spans="3:20" x14ac:dyDescent="0.25">
      <c r="C269" t="str">
        <f>IF(B269="","",IFERROR(VLOOKUP(B269,المشاريع!$A:$B,2,FALSE),"⚠️ المشروع غير موجود"))</f>
        <v/>
      </c>
      <c r="J269" t="str">
        <f t="shared" si="12"/>
        <v/>
      </c>
      <c r="O269" t="str">
        <f>IF(A269="","", SUMIFS(التحصيلات!$E:$E, التحصيلات!$I:$I, A269))</f>
        <v/>
      </c>
      <c r="P269" t="str">
        <f t="shared" si="13"/>
        <v/>
      </c>
      <c r="S269" t="str">
        <f>IF(A269="","", SUMIFS(جدول [2]الأقساط!$E:$E, جدول [2]الأقساط!$B:$B, A269))</f>
        <v/>
      </c>
      <c r="T269" t="str">
        <f t="shared" si="14"/>
        <v/>
      </c>
    </row>
    <row r="270" spans="3:20" x14ac:dyDescent="0.25">
      <c r="C270" t="str">
        <f>IF(B270="","",IFERROR(VLOOKUP(B270,المشاريع!$A:$B,2,FALSE),"⚠️ المشروع غير موجود"))</f>
        <v/>
      </c>
      <c r="J270" t="str">
        <f t="shared" si="12"/>
        <v/>
      </c>
      <c r="O270" t="str">
        <f>IF(A270="","", SUMIFS(التحصيلات!$E:$E, التحصيلات!$I:$I, A270))</f>
        <v/>
      </c>
      <c r="P270" t="str">
        <f t="shared" si="13"/>
        <v/>
      </c>
      <c r="S270" t="str">
        <f>IF(A270="","", SUMIFS(جدول [2]الأقساط!$E:$E, جدول [2]الأقساط!$B:$B, A270))</f>
        <v/>
      </c>
      <c r="T270" t="str">
        <f t="shared" si="14"/>
        <v/>
      </c>
    </row>
    <row r="271" spans="3:20" x14ac:dyDescent="0.25">
      <c r="C271" t="str">
        <f>IF(B271="","",IFERROR(VLOOKUP(B271,المشاريع!$A:$B,2,FALSE),"⚠️ المشروع غير موجود"))</f>
        <v/>
      </c>
      <c r="J271" t="str">
        <f t="shared" si="12"/>
        <v/>
      </c>
      <c r="O271" t="str">
        <f>IF(A271="","", SUMIFS(التحصيلات!$E:$E, التحصيلات!$I:$I, A271))</f>
        <v/>
      </c>
      <c r="P271" t="str">
        <f t="shared" si="13"/>
        <v/>
      </c>
      <c r="S271" t="str">
        <f>IF(A271="","", SUMIFS(جدول [2]الأقساط!$E:$E, جدول [2]الأقساط!$B:$B, A271))</f>
        <v/>
      </c>
      <c r="T271" t="str">
        <f t="shared" si="14"/>
        <v/>
      </c>
    </row>
    <row r="272" spans="3:20" x14ac:dyDescent="0.25">
      <c r="C272" t="str">
        <f>IF(B272="","",IFERROR(VLOOKUP(B272,المشاريع!$A:$B,2,FALSE),"⚠️ المشروع غير موجود"))</f>
        <v/>
      </c>
      <c r="J272" t="str">
        <f t="shared" si="12"/>
        <v/>
      </c>
      <c r="O272" t="str">
        <f>IF(A272="","", SUMIFS(التحصيلات!$E:$E, التحصيلات!$I:$I, A272))</f>
        <v/>
      </c>
      <c r="P272" t="str">
        <f t="shared" si="13"/>
        <v/>
      </c>
      <c r="S272" t="str">
        <f>IF(A272="","", SUMIFS(جدول [2]الأقساط!$E:$E, جدول [2]الأقساط!$B:$B, A272))</f>
        <v/>
      </c>
      <c r="T272" t="str">
        <f t="shared" si="14"/>
        <v/>
      </c>
    </row>
    <row r="273" spans="3:20" x14ac:dyDescent="0.25">
      <c r="C273" t="str">
        <f>IF(B273="","",IFERROR(VLOOKUP(B273,المشاريع!$A:$B,2,FALSE),"⚠️ المشروع غير موجود"))</f>
        <v/>
      </c>
      <c r="J273" t="str">
        <f t="shared" si="12"/>
        <v/>
      </c>
      <c r="O273" t="str">
        <f>IF(A273="","", SUMIFS(التحصيلات!$E:$E, التحصيلات!$I:$I, A273))</f>
        <v/>
      </c>
      <c r="P273" t="str">
        <f t="shared" si="13"/>
        <v/>
      </c>
      <c r="S273" t="str">
        <f>IF(A273="","", SUMIFS(جدول [2]الأقساط!$E:$E, جدول [2]الأقساط!$B:$B, A273))</f>
        <v/>
      </c>
      <c r="T273" t="str">
        <f t="shared" si="14"/>
        <v/>
      </c>
    </row>
    <row r="274" spans="3:20" x14ac:dyDescent="0.25">
      <c r="C274" t="str">
        <f>IF(B274="","",IFERROR(VLOOKUP(B274,المشاريع!$A:$B,2,FALSE),"⚠️ المشروع غير موجود"))</f>
        <v/>
      </c>
      <c r="J274" t="str">
        <f t="shared" si="12"/>
        <v/>
      </c>
      <c r="O274" t="str">
        <f>IF(A274="","", SUMIFS(التحصيلات!$E:$E, التحصيلات!$I:$I, A274))</f>
        <v/>
      </c>
      <c r="P274" t="str">
        <f t="shared" si="13"/>
        <v/>
      </c>
      <c r="S274" t="str">
        <f>IF(A274="","", SUMIFS(جدول [2]الأقساط!$E:$E, جدول [2]الأقساط!$B:$B, A274))</f>
        <v/>
      </c>
      <c r="T274" t="str">
        <f t="shared" si="14"/>
        <v/>
      </c>
    </row>
    <row r="275" spans="3:20" x14ac:dyDescent="0.25">
      <c r="C275" t="str">
        <f>IF(B275="","",IFERROR(VLOOKUP(B275,المشاريع!$A:$B,2,FALSE),"⚠️ المشروع غير موجود"))</f>
        <v/>
      </c>
      <c r="J275" t="str">
        <f t="shared" si="12"/>
        <v/>
      </c>
      <c r="O275" t="str">
        <f>IF(A275="","", SUMIFS(التحصيلات!$E:$E, التحصيلات!$I:$I, A275))</f>
        <v/>
      </c>
      <c r="P275" t="str">
        <f t="shared" si="13"/>
        <v/>
      </c>
      <c r="S275" t="str">
        <f>IF(A275="","", SUMIFS(جدول [2]الأقساط!$E:$E, جدول [2]الأقساط!$B:$B, A275))</f>
        <v/>
      </c>
      <c r="T275" t="str">
        <f t="shared" si="14"/>
        <v/>
      </c>
    </row>
    <row r="276" spans="3:20" x14ac:dyDescent="0.25">
      <c r="C276" t="str">
        <f>IF(B276="","",IFERROR(VLOOKUP(B276,المشاريع!$A:$B,2,FALSE),"⚠️ المشروع غير موجود"))</f>
        <v/>
      </c>
      <c r="J276" t="str">
        <f t="shared" si="12"/>
        <v/>
      </c>
      <c r="O276" t="str">
        <f>IF(A276="","", SUMIFS(التحصيلات!$E:$E, التحصيلات!$I:$I, A276))</f>
        <v/>
      </c>
      <c r="P276" t="str">
        <f t="shared" si="13"/>
        <v/>
      </c>
      <c r="S276" t="str">
        <f>IF(A276="","", SUMIFS(جدول [2]الأقساط!$E:$E, جدول [2]الأقساط!$B:$B, A276))</f>
        <v/>
      </c>
      <c r="T276" t="str">
        <f t="shared" si="14"/>
        <v/>
      </c>
    </row>
    <row r="277" spans="3:20" x14ac:dyDescent="0.25">
      <c r="C277" t="str">
        <f>IF(B277="","",IFERROR(VLOOKUP(B277,المشاريع!$A:$B,2,FALSE),"⚠️ المشروع غير موجود"))</f>
        <v/>
      </c>
      <c r="J277" t="str">
        <f t="shared" si="12"/>
        <v/>
      </c>
      <c r="O277" t="str">
        <f>IF(A277="","", SUMIFS(التحصيلات!$E:$E, التحصيلات!$I:$I, A277))</f>
        <v/>
      </c>
      <c r="P277" t="str">
        <f t="shared" si="13"/>
        <v/>
      </c>
      <c r="S277" t="str">
        <f>IF(A277="","", SUMIFS(جدول [2]الأقساط!$E:$E, جدول [2]الأقساط!$B:$B, A277))</f>
        <v/>
      </c>
      <c r="T277" t="str">
        <f t="shared" si="14"/>
        <v/>
      </c>
    </row>
    <row r="278" spans="3:20" x14ac:dyDescent="0.25">
      <c r="C278" t="str">
        <f>IF(B278="","",IFERROR(VLOOKUP(B278,المشاريع!$A:$B,2,FALSE),"⚠️ المشروع غير موجود"))</f>
        <v/>
      </c>
      <c r="J278" t="str">
        <f t="shared" si="12"/>
        <v/>
      </c>
      <c r="O278" t="str">
        <f>IF(A278="","", SUMIFS(التحصيلات!$E:$E, التحصيلات!$I:$I, A278))</f>
        <v/>
      </c>
      <c r="P278" t="str">
        <f t="shared" si="13"/>
        <v/>
      </c>
      <c r="S278" t="str">
        <f>IF(A278="","", SUMIFS(جدول [2]الأقساط!$E:$E, جدول [2]الأقساط!$B:$B, A278))</f>
        <v/>
      </c>
      <c r="T278" t="str">
        <f t="shared" si="14"/>
        <v/>
      </c>
    </row>
    <row r="279" spans="3:20" x14ac:dyDescent="0.25">
      <c r="C279" t="str">
        <f>IF(B279="","",IFERROR(VLOOKUP(B279,المشاريع!$A:$B,2,FALSE),"⚠️ المشروع غير موجود"))</f>
        <v/>
      </c>
      <c r="J279" t="str">
        <f t="shared" si="12"/>
        <v/>
      </c>
      <c r="O279" t="str">
        <f>IF(A279="","", SUMIFS(التحصيلات!$E:$E, التحصيلات!$I:$I, A279))</f>
        <v/>
      </c>
      <c r="P279" t="str">
        <f t="shared" si="13"/>
        <v/>
      </c>
      <c r="S279" t="str">
        <f>IF(A279="","", SUMIFS(جدول [2]الأقساط!$E:$E, جدول [2]الأقساط!$B:$B, A279))</f>
        <v/>
      </c>
      <c r="T279" t="str">
        <f t="shared" si="14"/>
        <v/>
      </c>
    </row>
    <row r="280" spans="3:20" x14ac:dyDescent="0.25">
      <c r="C280" t="str">
        <f>IF(B280="","",IFERROR(VLOOKUP(B280,المشاريع!$A:$B,2,FALSE),"⚠️ المشروع غير موجود"))</f>
        <v/>
      </c>
      <c r="J280" t="str">
        <f t="shared" si="12"/>
        <v/>
      </c>
      <c r="O280" t="str">
        <f>IF(A280="","", SUMIFS(التحصيلات!$E:$E, التحصيلات!$I:$I, A280))</f>
        <v/>
      </c>
      <c r="P280" t="str">
        <f t="shared" si="13"/>
        <v/>
      </c>
      <c r="S280" t="str">
        <f>IF(A280="","", SUMIFS(جدول [2]الأقساط!$E:$E, جدول [2]الأقساط!$B:$B, A280))</f>
        <v/>
      </c>
      <c r="T280" t="str">
        <f t="shared" si="14"/>
        <v/>
      </c>
    </row>
    <row r="281" spans="3:20" x14ac:dyDescent="0.25">
      <c r="C281" t="str">
        <f>IF(B281="","",IFERROR(VLOOKUP(B281,المشاريع!$A:$B,2,FALSE),"⚠️ المشروع غير موجود"))</f>
        <v/>
      </c>
      <c r="J281" t="str">
        <f t="shared" si="12"/>
        <v/>
      </c>
      <c r="O281" t="str">
        <f>IF(A281="","", SUMIFS(التحصيلات!$E:$E, التحصيلات!$I:$I, A281))</f>
        <v/>
      </c>
      <c r="P281" t="str">
        <f t="shared" si="13"/>
        <v/>
      </c>
      <c r="S281" t="str">
        <f>IF(A281="","", SUMIFS(جدول [2]الأقساط!$E:$E, جدول [2]الأقساط!$B:$B, A281))</f>
        <v/>
      </c>
      <c r="T281" t="str">
        <f t="shared" si="14"/>
        <v/>
      </c>
    </row>
    <row r="282" spans="3:20" x14ac:dyDescent="0.25">
      <c r="C282" t="str">
        <f>IF(B282="","",IFERROR(VLOOKUP(B282,المشاريع!$A:$B,2,FALSE),"⚠️ المشروع غير موجود"))</f>
        <v/>
      </c>
      <c r="J282" t="str">
        <f t="shared" si="12"/>
        <v/>
      </c>
      <c r="O282" t="str">
        <f>IF(A282="","", SUMIFS(التحصيلات!$E:$E, التحصيلات!$I:$I, A282))</f>
        <v/>
      </c>
      <c r="P282" t="str">
        <f t="shared" si="13"/>
        <v/>
      </c>
      <c r="S282" t="str">
        <f>IF(A282="","", SUMIFS(جدول [2]الأقساط!$E:$E, جدول [2]الأقساط!$B:$B, A282))</f>
        <v/>
      </c>
      <c r="T282" t="str">
        <f t="shared" si="14"/>
        <v/>
      </c>
    </row>
    <row r="283" spans="3:20" x14ac:dyDescent="0.25">
      <c r="C283" t="str">
        <f>IF(B283="","",IFERROR(VLOOKUP(B283,المشاريع!$A:$B,2,FALSE),"⚠️ المشروع غير موجود"))</f>
        <v/>
      </c>
      <c r="J283" t="str">
        <f t="shared" si="12"/>
        <v/>
      </c>
      <c r="O283" t="str">
        <f>IF(A283="","", SUMIFS(التحصيلات!$E:$E, التحصيلات!$I:$I, A283))</f>
        <v/>
      </c>
      <c r="P283" t="str">
        <f t="shared" si="13"/>
        <v/>
      </c>
      <c r="S283" t="str">
        <f>IF(A283="","", SUMIFS(جدول [2]الأقساط!$E:$E, جدول [2]الأقساط!$B:$B, A283))</f>
        <v/>
      </c>
      <c r="T283" t="str">
        <f t="shared" si="14"/>
        <v/>
      </c>
    </row>
    <row r="284" spans="3:20" x14ac:dyDescent="0.25">
      <c r="C284" t="str">
        <f>IF(B284="","",IFERROR(VLOOKUP(B284,المشاريع!$A:$B,2,FALSE),"⚠️ المشروع غير موجود"))</f>
        <v/>
      </c>
      <c r="J284" t="str">
        <f t="shared" si="12"/>
        <v/>
      </c>
      <c r="O284" t="str">
        <f>IF(A284="","", SUMIFS(التحصيلات!$E:$E, التحصيلات!$I:$I, A284))</f>
        <v/>
      </c>
      <c r="P284" t="str">
        <f t="shared" si="13"/>
        <v/>
      </c>
      <c r="S284" t="str">
        <f>IF(A284="","", SUMIFS(جدول [2]الأقساط!$E:$E, جدول [2]الأقساط!$B:$B, A284))</f>
        <v/>
      </c>
      <c r="T284" t="str">
        <f t="shared" si="14"/>
        <v/>
      </c>
    </row>
    <row r="285" spans="3:20" x14ac:dyDescent="0.25">
      <c r="C285" t="str">
        <f>IF(B285="","",IFERROR(VLOOKUP(B285,المشاريع!$A:$B,2,FALSE),"⚠️ المشروع غير موجود"))</f>
        <v/>
      </c>
      <c r="J285" t="str">
        <f t="shared" si="12"/>
        <v/>
      </c>
      <c r="O285" t="str">
        <f>IF(A285="","", SUMIFS(التحصيلات!$E:$E, التحصيلات!$I:$I, A285))</f>
        <v/>
      </c>
      <c r="P285" t="str">
        <f t="shared" si="13"/>
        <v/>
      </c>
      <c r="S285" t="str">
        <f>IF(A285="","", SUMIFS(جدول [2]الأقساط!$E:$E, جدول [2]الأقساط!$B:$B, A285))</f>
        <v/>
      </c>
      <c r="T285" t="str">
        <f t="shared" si="14"/>
        <v/>
      </c>
    </row>
    <row r="286" spans="3:20" x14ac:dyDescent="0.25">
      <c r="C286" t="str">
        <f>IF(B286="","",IFERROR(VLOOKUP(B286,المشاريع!$A:$B,2,FALSE),"⚠️ المشروع غير موجود"))</f>
        <v/>
      </c>
      <c r="J286" t="str">
        <f t="shared" si="12"/>
        <v/>
      </c>
      <c r="O286" t="str">
        <f>IF(A286="","", SUMIFS(التحصيلات!$E:$E, التحصيلات!$I:$I, A286))</f>
        <v/>
      </c>
      <c r="P286" t="str">
        <f t="shared" si="13"/>
        <v/>
      </c>
      <c r="S286" t="str">
        <f>IF(A286="","", SUMIFS(جدول [2]الأقساط!$E:$E, جدول [2]الأقساط!$B:$B, A286))</f>
        <v/>
      </c>
      <c r="T286" t="str">
        <f t="shared" si="14"/>
        <v/>
      </c>
    </row>
    <row r="287" spans="3:20" x14ac:dyDescent="0.25">
      <c r="C287" t="str">
        <f>IF(B287="","",IFERROR(VLOOKUP(B287,المشاريع!$A:$B,2,FALSE),"⚠️ المشروع غير موجود"))</f>
        <v/>
      </c>
      <c r="J287" t="str">
        <f t="shared" si="12"/>
        <v/>
      </c>
      <c r="O287" t="str">
        <f>IF(A287="","", SUMIFS(التحصيلات!$E:$E, التحصيلات!$I:$I, A287))</f>
        <v/>
      </c>
      <c r="P287" t="str">
        <f t="shared" si="13"/>
        <v/>
      </c>
      <c r="S287" t="str">
        <f>IF(A287="","", SUMIFS(جدول [2]الأقساط!$E:$E, جدول [2]الأقساط!$B:$B, A287))</f>
        <v/>
      </c>
      <c r="T287" t="str">
        <f t="shared" si="14"/>
        <v/>
      </c>
    </row>
    <row r="288" spans="3:20" x14ac:dyDescent="0.25">
      <c r="C288" t="str">
        <f>IF(B288="","",IFERROR(VLOOKUP(B288,المشاريع!$A:$B,2,FALSE),"⚠️ المشروع غير موجود"))</f>
        <v/>
      </c>
      <c r="J288" t="str">
        <f t="shared" si="12"/>
        <v/>
      </c>
      <c r="O288" t="str">
        <f>IF(A288="","", SUMIFS(التحصيلات!$E:$E, التحصيلات!$I:$I, A288))</f>
        <v/>
      </c>
      <c r="P288" t="str">
        <f t="shared" si="13"/>
        <v/>
      </c>
      <c r="S288" t="str">
        <f>IF(A288="","", SUMIFS(جدول [2]الأقساط!$E:$E, جدول [2]الأقساط!$B:$B, A288))</f>
        <v/>
      </c>
      <c r="T288" t="str">
        <f t="shared" si="14"/>
        <v/>
      </c>
    </row>
    <row r="289" spans="3:20" x14ac:dyDescent="0.25">
      <c r="C289" t="str">
        <f>IF(B289="","",IFERROR(VLOOKUP(B289,المشاريع!$A:$B,2,FALSE),"⚠️ المشروع غير موجود"))</f>
        <v/>
      </c>
      <c r="J289" t="str">
        <f t="shared" si="12"/>
        <v/>
      </c>
      <c r="O289" t="str">
        <f>IF(A289="","", SUMIFS(التحصيلات!$E:$E, التحصيلات!$I:$I, A289))</f>
        <v/>
      </c>
      <c r="P289" t="str">
        <f t="shared" si="13"/>
        <v/>
      </c>
      <c r="S289" t="str">
        <f>IF(A289="","", SUMIFS(جدول [2]الأقساط!$E:$E, جدول [2]الأقساط!$B:$B, A289))</f>
        <v/>
      </c>
      <c r="T289" t="str">
        <f t="shared" si="14"/>
        <v/>
      </c>
    </row>
    <row r="290" spans="3:20" x14ac:dyDescent="0.25">
      <c r="C290" t="str">
        <f>IF(B290="","",IFERROR(VLOOKUP(B290,المشاريع!$A:$B,2,FALSE),"⚠️ المشروع غير موجود"))</f>
        <v/>
      </c>
      <c r="J290" t="str">
        <f t="shared" si="12"/>
        <v/>
      </c>
      <c r="O290" t="str">
        <f>IF(A290="","", SUMIFS(التحصيلات!$E:$E, التحصيلات!$I:$I, A290))</f>
        <v/>
      </c>
      <c r="P290" t="str">
        <f t="shared" si="13"/>
        <v/>
      </c>
      <c r="S290" t="str">
        <f>IF(A290="","", SUMIFS(جدول [2]الأقساط!$E:$E, جدول [2]الأقساط!$B:$B, A290))</f>
        <v/>
      </c>
      <c r="T290" t="str">
        <f t="shared" si="14"/>
        <v/>
      </c>
    </row>
    <row r="291" spans="3:20" x14ac:dyDescent="0.25">
      <c r="C291" t="str">
        <f>IF(B291="","",IFERROR(VLOOKUP(B291,المشاريع!$A:$B,2,FALSE),"⚠️ المشروع غير موجود"))</f>
        <v/>
      </c>
      <c r="J291" t="str">
        <f t="shared" si="12"/>
        <v/>
      </c>
      <c r="O291" t="str">
        <f>IF(A291="","", SUMIFS(التحصيلات!$E:$E, التحصيلات!$I:$I, A291))</f>
        <v/>
      </c>
      <c r="P291" t="str">
        <f t="shared" si="13"/>
        <v/>
      </c>
      <c r="S291" t="str">
        <f>IF(A291="","", SUMIFS(جدول [2]الأقساط!$E:$E, جدول [2]الأقساط!$B:$B, A291))</f>
        <v/>
      </c>
      <c r="T291" t="str">
        <f t="shared" si="14"/>
        <v/>
      </c>
    </row>
    <row r="292" spans="3:20" x14ac:dyDescent="0.25">
      <c r="C292" t="str">
        <f>IF(B292="","",IFERROR(VLOOKUP(B292,المشاريع!$A:$B,2,FALSE),"⚠️ المشروع غير موجود"))</f>
        <v/>
      </c>
      <c r="J292" t="str">
        <f t="shared" si="12"/>
        <v/>
      </c>
      <c r="O292" t="str">
        <f>IF(A292="","", SUMIFS(التحصيلات!$E:$E, التحصيلات!$I:$I, A292))</f>
        <v/>
      </c>
      <c r="P292" t="str">
        <f t="shared" si="13"/>
        <v/>
      </c>
      <c r="S292" t="str">
        <f>IF(A292="","", SUMIFS(جدول [2]الأقساط!$E:$E, جدول [2]الأقساط!$B:$B, A292))</f>
        <v/>
      </c>
      <c r="T292" t="str">
        <f t="shared" si="14"/>
        <v/>
      </c>
    </row>
    <row r="293" spans="3:20" x14ac:dyDescent="0.25">
      <c r="C293" t="str">
        <f>IF(B293="","",IFERROR(VLOOKUP(B293,المشاريع!$A:$B,2,FALSE),"⚠️ المشروع غير موجود"))</f>
        <v/>
      </c>
      <c r="J293" t="str">
        <f t="shared" si="12"/>
        <v/>
      </c>
      <c r="O293" t="str">
        <f>IF(A293="","", SUMIFS(التحصيلات!$E:$E, التحصيلات!$I:$I, A293))</f>
        <v/>
      </c>
      <c r="P293" t="str">
        <f t="shared" si="13"/>
        <v/>
      </c>
      <c r="S293" t="str">
        <f>IF(A293="","", SUMIFS(جدول [2]الأقساط!$E:$E, جدول [2]الأقساط!$B:$B, A293))</f>
        <v/>
      </c>
      <c r="T293" t="str">
        <f t="shared" si="14"/>
        <v/>
      </c>
    </row>
    <row r="294" spans="3:20" x14ac:dyDescent="0.25">
      <c r="C294" t="str">
        <f>IF(B294="","",IFERROR(VLOOKUP(B294,المشاريع!$A:$B,2,FALSE),"⚠️ المشروع غير موجود"))</f>
        <v/>
      </c>
      <c r="J294" t="str">
        <f t="shared" si="12"/>
        <v/>
      </c>
      <c r="O294" t="str">
        <f>IF(A294="","", SUMIFS(التحصيلات!$E:$E, التحصيلات!$I:$I, A294))</f>
        <v/>
      </c>
      <c r="P294" t="str">
        <f t="shared" si="13"/>
        <v/>
      </c>
      <c r="S294" t="str">
        <f>IF(A294="","", SUMIFS(جدول [2]الأقساط!$E:$E, جدول [2]الأقساط!$B:$B, A294))</f>
        <v/>
      </c>
      <c r="T294" t="str">
        <f t="shared" si="14"/>
        <v/>
      </c>
    </row>
    <row r="295" spans="3:20" x14ac:dyDescent="0.25">
      <c r="C295" t="str">
        <f>IF(B295="","",IFERROR(VLOOKUP(B295,المشاريع!$A:$B,2,FALSE),"⚠️ المشروع غير موجود"))</f>
        <v/>
      </c>
      <c r="J295" t="str">
        <f t="shared" si="12"/>
        <v/>
      </c>
      <c r="O295" t="str">
        <f>IF(A295="","", SUMIFS(التحصيلات!$E:$E, التحصيلات!$I:$I, A295))</f>
        <v/>
      </c>
      <c r="P295" t="str">
        <f t="shared" si="13"/>
        <v/>
      </c>
      <c r="S295" t="str">
        <f>IF(A295="","", SUMIFS(جدول [2]الأقساط!$E:$E, جدول [2]الأقساط!$B:$B, A295))</f>
        <v/>
      </c>
      <c r="T295" t="str">
        <f t="shared" si="14"/>
        <v/>
      </c>
    </row>
    <row r="296" spans="3:20" x14ac:dyDescent="0.25">
      <c r="C296" t="str">
        <f>IF(B296="","",IFERROR(VLOOKUP(B296,المشاريع!$A:$B,2,FALSE),"⚠️ المشروع غير موجود"))</f>
        <v/>
      </c>
      <c r="J296" t="str">
        <f t="shared" si="12"/>
        <v/>
      </c>
      <c r="O296" t="str">
        <f>IF(A296="","", SUMIFS(التحصيلات!$E:$E, التحصيلات!$I:$I, A296))</f>
        <v/>
      </c>
      <c r="P296" t="str">
        <f t="shared" si="13"/>
        <v/>
      </c>
      <c r="S296" t="str">
        <f>IF(A296="","", SUMIFS(جدول [2]الأقساط!$E:$E, جدول [2]الأقساط!$B:$B, A296))</f>
        <v/>
      </c>
      <c r="T296" t="str">
        <f t="shared" si="14"/>
        <v/>
      </c>
    </row>
    <row r="297" spans="3:20" x14ac:dyDescent="0.25">
      <c r="C297" t="str">
        <f>IF(B297="","",IFERROR(VLOOKUP(B297,المشاريع!$A:$B,2,FALSE),"⚠️ المشروع غير موجود"))</f>
        <v/>
      </c>
      <c r="J297" t="str">
        <f t="shared" si="12"/>
        <v/>
      </c>
      <c r="O297" t="str">
        <f>IF(A297="","", SUMIFS(التحصيلات!$E:$E, التحصيلات!$I:$I, A297))</f>
        <v/>
      </c>
      <c r="P297" t="str">
        <f t="shared" si="13"/>
        <v/>
      </c>
      <c r="S297" t="str">
        <f>IF(A297="","", SUMIFS(جدول [2]الأقساط!$E:$E, جدول [2]الأقساط!$B:$B, A297))</f>
        <v/>
      </c>
      <c r="T297" t="str">
        <f t="shared" si="14"/>
        <v/>
      </c>
    </row>
    <row r="298" spans="3:20" x14ac:dyDescent="0.25">
      <c r="C298" t="str">
        <f>IF(B298="","",IFERROR(VLOOKUP(B298,المشاريع!$A:$B,2,FALSE),"⚠️ المشروع غير موجود"))</f>
        <v/>
      </c>
      <c r="J298" t="str">
        <f t="shared" si="12"/>
        <v/>
      </c>
      <c r="O298" t="str">
        <f>IF(A298="","", SUMIFS(التحصيلات!$E:$E, التحصيلات!$I:$I, A298))</f>
        <v/>
      </c>
      <c r="P298" t="str">
        <f t="shared" si="13"/>
        <v/>
      </c>
      <c r="S298" t="str">
        <f>IF(A298="","", SUMIFS(جدول [2]الأقساط!$E:$E, جدول [2]الأقساط!$B:$B, A298))</f>
        <v/>
      </c>
      <c r="T298" t="str">
        <f t="shared" si="14"/>
        <v/>
      </c>
    </row>
    <row r="299" spans="3:20" x14ac:dyDescent="0.25">
      <c r="C299" t="str">
        <f>IF(B299="","",IFERROR(VLOOKUP(B299,المشاريع!$A:$B,2,FALSE),"⚠️ المشروع غير موجود"))</f>
        <v/>
      </c>
      <c r="J299" t="str">
        <f t="shared" si="12"/>
        <v/>
      </c>
      <c r="O299" t="str">
        <f>IF(A299="","", SUMIFS(التحصيلات!$E:$E, التحصيلات!$I:$I, A299))</f>
        <v/>
      </c>
      <c r="P299" t="str">
        <f t="shared" si="13"/>
        <v/>
      </c>
      <c r="S299" t="str">
        <f>IF(A299="","", SUMIFS(جدول [2]الأقساط!$E:$E, جدول [2]الأقساط!$B:$B, A299))</f>
        <v/>
      </c>
      <c r="T299" t="str">
        <f t="shared" si="14"/>
        <v/>
      </c>
    </row>
    <row r="300" spans="3:20" x14ac:dyDescent="0.25">
      <c r="C300" t="str">
        <f>IF(B300="","",IFERROR(VLOOKUP(B300,المشاريع!$A:$B,2,FALSE),"⚠️ المشروع غير موجود"))</f>
        <v/>
      </c>
      <c r="J300" t="str">
        <f t="shared" si="12"/>
        <v/>
      </c>
      <c r="O300" t="str">
        <f>IF(A300="","", SUMIFS(التحصيلات!$E:$E, التحصيلات!$I:$I, A300))</f>
        <v/>
      </c>
      <c r="P300" t="str">
        <f t="shared" si="13"/>
        <v/>
      </c>
      <c r="S300" t="str">
        <f>IF(A300="","", SUMIFS(جدول [2]الأقساط!$E:$E, جدول [2]الأقساط!$B:$B, A300))</f>
        <v/>
      </c>
      <c r="T300" t="str">
        <f t="shared" si="14"/>
        <v/>
      </c>
    </row>
    <row r="301" spans="3:20" x14ac:dyDescent="0.25">
      <c r="C301" t="str">
        <f>IF(B301="","",IFERROR(VLOOKUP(B301,المشاريع!$A:$B,2,FALSE),"⚠️ المشروع غير موجود"))</f>
        <v/>
      </c>
      <c r="J301" t="str">
        <f t="shared" si="12"/>
        <v/>
      </c>
      <c r="O301" t="str">
        <f>IF(A301="","", SUMIFS(التحصيلات!$E:$E, التحصيلات!$I:$I, A301))</f>
        <v/>
      </c>
      <c r="P301" t="str">
        <f t="shared" si="13"/>
        <v/>
      </c>
      <c r="S301" t="str">
        <f>IF(A301="","", SUMIFS(جدول [2]الأقساط!$E:$E, جدول [2]الأقساط!$B:$B, A301))</f>
        <v/>
      </c>
      <c r="T301" t="str">
        <f t="shared" si="14"/>
        <v/>
      </c>
    </row>
    <row r="302" spans="3:20" x14ac:dyDescent="0.25">
      <c r="C302" t="str">
        <f>IF(B302="","",IFERROR(VLOOKUP(B302,المشاريع!$A:$B,2,FALSE),"⚠️ المشروع غير موجود"))</f>
        <v/>
      </c>
      <c r="J302" t="str">
        <f t="shared" si="12"/>
        <v/>
      </c>
      <c r="O302" t="str">
        <f>IF(A302="","", SUMIFS(التحصيلات!$E:$E, التحصيلات!$I:$I, A302))</f>
        <v/>
      </c>
      <c r="P302" t="str">
        <f t="shared" si="13"/>
        <v/>
      </c>
      <c r="S302" t="str">
        <f>IF(A302="","", SUMIFS(جدول [2]الأقساط!$E:$E, جدول [2]الأقساط!$B:$B, A302))</f>
        <v/>
      </c>
      <c r="T302" t="str">
        <f t="shared" si="14"/>
        <v/>
      </c>
    </row>
    <row r="303" spans="3:20" x14ac:dyDescent="0.25">
      <c r="C303" t="str">
        <f>IF(B303="","",IFERROR(VLOOKUP(B303,المشاريع!$A:$B,2,FALSE),"⚠️ المشروع غير موجود"))</f>
        <v/>
      </c>
      <c r="J303" t="str">
        <f t="shared" si="12"/>
        <v/>
      </c>
      <c r="O303" t="str">
        <f>IF(A303="","", SUMIFS(التحصيلات!$E:$E, التحصيلات!$I:$I, A303))</f>
        <v/>
      </c>
      <c r="P303" t="str">
        <f t="shared" si="13"/>
        <v/>
      </c>
      <c r="S303" t="str">
        <f>IF(A303="","", SUMIFS(جدول [2]الأقساط!$E:$E, جدول [2]الأقساط!$B:$B, A303))</f>
        <v/>
      </c>
      <c r="T303" t="str">
        <f t="shared" si="14"/>
        <v/>
      </c>
    </row>
    <row r="304" spans="3:20" x14ac:dyDescent="0.25">
      <c r="C304" t="str">
        <f>IF(B304="","",IFERROR(VLOOKUP(B304,المشاريع!$A:$B,2,FALSE),"⚠️ المشروع غير موجود"))</f>
        <v/>
      </c>
      <c r="J304" t="str">
        <f t="shared" si="12"/>
        <v/>
      </c>
      <c r="O304" t="str">
        <f>IF(A304="","", SUMIFS(التحصيلات!$E:$E, التحصيلات!$I:$I, A304))</f>
        <v/>
      </c>
      <c r="P304" t="str">
        <f t="shared" si="13"/>
        <v/>
      </c>
      <c r="S304" t="str">
        <f>IF(A304="","", SUMIFS(جدول [2]الأقساط!$E:$E, جدول [2]الأقساط!$B:$B, A304))</f>
        <v/>
      </c>
      <c r="T304" t="str">
        <f t="shared" si="14"/>
        <v/>
      </c>
    </row>
    <row r="305" spans="3:20" x14ac:dyDescent="0.25">
      <c r="C305" t="str">
        <f>IF(B305="","",IFERROR(VLOOKUP(B305,المشاريع!$A:$B,2,FALSE),"⚠️ المشروع غير موجود"))</f>
        <v/>
      </c>
      <c r="J305" t="str">
        <f t="shared" si="12"/>
        <v/>
      </c>
      <c r="O305" t="str">
        <f>IF(A305="","", SUMIFS(التحصيلات!$E:$E, التحصيلات!$I:$I, A305))</f>
        <v/>
      </c>
      <c r="P305" t="str">
        <f t="shared" si="13"/>
        <v/>
      </c>
      <c r="S305" t="str">
        <f>IF(A305="","", SUMIFS(جدول [2]الأقساط!$E:$E, جدول [2]الأقساط!$B:$B, A305))</f>
        <v/>
      </c>
      <c r="T305" t="str">
        <f t="shared" si="14"/>
        <v/>
      </c>
    </row>
    <row r="306" spans="3:20" x14ac:dyDescent="0.25">
      <c r="C306" t="str">
        <f>IF(B306="","",IFERROR(VLOOKUP(B306,المشاريع!$A:$B,2,FALSE),"⚠️ المشروع غير موجود"))</f>
        <v/>
      </c>
      <c r="J306" t="str">
        <f t="shared" si="12"/>
        <v/>
      </c>
      <c r="O306" t="str">
        <f>IF(A306="","", SUMIFS(التحصيلات!$E:$E, التحصيلات!$I:$I, A306))</f>
        <v/>
      </c>
      <c r="P306" t="str">
        <f t="shared" si="13"/>
        <v/>
      </c>
      <c r="S306" t="str">
        <f>IF(A306="","", SUMIFS(جدول [2]الأقساط!$E:$E, جدول [2]الأقساط!$B:$B, A306))</f>
        <v/>
      </c>
      <c r="T306" t="str">
        <f t="shared" si="14"/>
        <v/>
      </c>
    </row>
    <row r="307" spans="3:20" x14ac:dyDescent="0.25">
      <c r="C307" t="str">
        <f>IF(B307="","",IFERROR(VLOOKUP(B307,المشاريع!$A:$B,2,FALSE),"⚠️ المشروع غير موجود"))</f>
        <v/>
      </c>
      <c r="J307" t="str">
        <f t="shared" si="12"/>
        <v/>
      </c>
      <c r="O307" t="str">
        <f>IF(A307="","", SUMIFS(التحصيلات!$E:$E, التحصيلات!$I:$I, A307))</f>
        <v/>
      </c>
      <c r="P307" t="str">
        <f t="shared" si="13"/>
        <v/>
      </c>
      <c r="S307" t="str">
        <f>IF(A307="","", SUMIFS(جدول [2]الأقساط!$E:$E, جدول [2]الأقساط!$B:$B, A307))</f>
        <v/>
      </c>
      <c r="T307" t="str">
        <f t="shared" si="14"/>
        <v/>
      </c>
    </row>
    <row r="308" spans="3:20" x14ac:dyDescent="0.25">
      <c r="C308" t="str">
        <f>IF(B308="","",IFERROR(VLOOKUP(B308,المشاريع!$A:$B,2,FALSE),"⚠️ المشروع غير موجود"))</f>
        <v/>
      </c>
      <c r="J308" t="str">
        <f t="shared" si="12"/>
        <v/>
      </c>
      <c r="O308" t="str">
        <f>IF(A308="","", SUMIFS(التحصيلات!$E:$E, التحصيلات!$I:$I, A308))</f>
        <v/>
      </c>
      <c r="P308" t="str">
        <f t="shared" si="13"/>
        <v/>
      </c>
      <c r="S308" t="str">
        <f>IF(A308="","", SUMIFS(جدول [2]الأقساط!$E:$E, جدول [2]الأقساط!$B:$B, A308))</f>
        <v/>
      </c>
      <c r="T308" t="str">
        <f t="shared" si="14"/>
        <v/>
      </c>
    </row>
    <row r="309" spans="3:20" x14ac:dyDescent="0.25">
      <c r="C309" t="str">
        <f>IF(B309="","",IFERROR(VLOOKUP(B309,المشاريع!$A:$B,2,FALSE),"⚠️ المشروع غير موجود"))</f>
        <v/>
      </c>
      <c r="J309" t="str">
        <f t="shared" si="12"/>
        <v/>
      </c>
      <c r="O309" t="str">
        <f>IF(A309="","", SUMIFS(التحصيلات!$E:$E, التحصيلات!$I:$I, A309))</f>
        <v/>
      </c>
      <c r="P309" t="str">
        <f t="shared" si="13"/>
        <v/>
      </c>
      <c r="S309" t="str">
        <f>IF(A309="","", SUMIFS(جدول [2]الأقساط!$E:$E, جدول [2]الأقساط!$B:$B, A309))</f>
        <v/>
      </c>
      <c r="T309" t="str">
        <f t="shared" si="14"/>
        <v/>
      </c>
    </row>
    <row r="310" spans="3:20" x14ac:dyDescent="0.25">
      <c r="C310" t="str">
        <f>IF(B310="","",IFERROR(VLOOKUP(B310,المشاريع!$A:$B,2,FALSE),"⚠️ المشروع غير موجود"))</f>
        <v/>
      </c>
      <c r="J310" t="str">
        <f t="shared" si="12"/>
        <v/>
      </c>
      <c r="O310" t="str">
        <f>IF(A310="","", SUMIFS(التحصيلات!$E:$E, التحصيلات!$I:$I, A310))</f>
        <v/>
      </c>
      <c r="P310" t="str">
        <f t="shared" si="13"/>
        <v/>
      </c>
      <c r="S310" t="str">
        <f>IF(A310="","", SUMIFS(جدول [2]الأقساط!$E:$E, جدول [2]الأقساط!$B:$B, A310))</f>
        <v/>
      </c>
      <c r="T310" t="str">
        <f t="shared" si="14"/>
        <v/>
      </c>
    </row>
    <row r="311" spans="3:20" x14ac:dyDescent="0.25">
      <c r="C311" t="str">
        <f>IF(B311="","",IFERROR(VLOOKUP(B311,المشاريع!$A:$B,2,FALSE),"⚠️ المشروع غير موجود"))</f>
        <v/>
      </c>
      <c r="J311" t="str">
        <f t="shared" si="12"/>
        <v/>
      </c>
      <c r="O311" t="str">
        <f>IF(A311="","", SUMIFS(التحصيلات!$E:$E, التحصيلات!$I:$I, A311))</f>
        <v/>
      </c>
      <c r="P311" t="str">
        <f t="shared" si="13"/>
        <v/>
      </c>
      <c r="S311" t="str">
        <f>IF(A311="","", SUMIFS(جدول [2]الأقساط!$E:$E, جدول [2]الأقساط!$B:$B, A311))</f>
        <v/>
      </c>
      <c r="T311" t="str">
        <f t="shared" si="14"/>
        <v/>
      </c>
    </row>
    <row r="312" spans="3:20" x14ac:dyDescent="0.25">
      <c r="C312" t="str">
        <f>IF(B312="","",IFERROR(VLOOKUP(B312,المشاريع!$A:$B,2,FALSE),"⚠️ المشروع غير موجود"))</f>
        <v/>
      </c>
      <c r="J312" t="str">
        <f t="shared" si="12"/>
        <v/>
      </c>
      <c r="O312" t="str">
        <f>IF(A312="","", SUMIFS(التحصيلات!$E:$E, التحصيلات!$I:$I, A312))</f>
        <v/>
      </c>
      <c r="P312" t="str">
        <f t="shared" si="13"/>
        <v/>
      </c>
      <c r="S312" t="str">
        <f>IF(A312="","", SUMIFS(جدول [2]الأقساط!$E:$E, جدول [2]الأقساط!$B:$B, A312))</f>
        <v/>
      </c>
      <c r="T312" t="str">
        <f t="shared" si="14"/>
        <v/>
      </c>
    </row>
    <row r="313" spans="3:20" x14ac:dyDescent="0.25">
      <c r="C313" t="str">
        <f>IF(B313="","",IFERROR(VLOOKUP(B313,المشاريع!$A:$B,2,FALSE),"⚠️ المشروع غير موجود"))</f>
        <v/>
      </c>
      <c r="J313" t="str">
        <f t="shared" si="12"/>
        <v/>
      </c>
      <c r="O313" t="str">
        <f>IF(A313="","", SUMIFS(التحصيلات!$E:$E, التحصيلات!$I:$I, A313))</f>
        <v/>
      </c>
      <c r="P313" t="str">
        <f t="shared" si="13"/>
        <v/>
      </c>
      <c r="S313" t="str">
        <f>IF(A313="","", SUMIFS(جدول [2]الأقساط!$E:$E, جدول [2]الأقساط!$B:$B, A313))</f>
        <v/>
      </c>
      <c r="T313" t="str">
        <f t="shared" si="14"/>
        <v/>
      </c>
    </row>
    <row r="314" spans="3:20" x14ac:dyDescent="0.25">
      <c r="C314" t="str">
        <f>IF(B314="","",IFERROR(VLOOKUP(B314,المشاريع!$A:$B,2,FALSE),"⚠️ المشروع غير موجود"))</f>
        <v/>
      </c>
      <c r="J314" t="str">
        <f t="shared" si="12"/>
        <v/>
      </c>
      <c r="O314" t="str">
        <f>IF(A314="","", SUMIFS(التحصيلات!$E:$E, التحصيلات!$I:$I, A314))</f>
        <v/>
      </c>
      <c r="P314" t="str">
        <f t="shared" si="13"/>
        <v/>
      </c>
      <c r="S314" t="str">
        <f>IF(A314="","", SUMIFS(جدول [2]الأقساط!$E:$E, جدول [2]الأقساط!$B:$B, A314))</f>
        <v/>
      </c>
      <c r="T314" t="str">
        <f t="shared" si="14"/>
        <v/>
      </c>
    </row>
    <row r="315" spans="3:20" x14ac:dyDescent="0.25">
      <c r="C315" t="str">
        <f>IF(B315="","",IFERROR(VLOOKUP(B315,المشاريع!$A:$B,2,FALSE),"⚠️ المشروع غير موجود"))</f>
        <v/>
      </c>
      <c r="J315" t="str">
        <f t="shared" si="12"/>
        <v/>
      </c>
      <c r="O315" t="str">
        <f>IF(A315="","", SUMIFS(التحصيلات!$E:$E, التحصيلات!$I:$I, A315))</f>
        <v/>
      </c>
      <c r="P315" t="str">
        <f t="shared" si="13"/>
        <v/>
      </c>
      <c r="S315" t="str">
        <f>IF(A315="","", SUMIFS(جدول [2]الأقساط!$E:$E, جدول [2]الأقساط!$B:$B, A315))</f>
        <v/>
      </c>
      <c r="T315" t="str">
        <f t="shared" si="14"/>
        <v/>
      </c>
    </row>
    <row r="316" spans="3:20" x14ac:dyDescent="0.25">
      <c r="C316" t="str">
        <f>IF(B316="","",IFERROR(VLOOKUP(B316,المشاريع!$A:$B,2,FALSE),"⚠️ المشروع غير موجود"))</f>
        <v/>
      </c>
      <c r="J316" t="str">
        <f t="shared" si="12"/>
        <v/>
      </c>
      <c r="O316" t="str">
        <f>IF(A316="","", SUMIFS(التحصيلات!$E:$E, التحصيلات!$I:$I, A316))</f>
        <v/>
      </c>
      <c r="P316" t="str">
        <f t="shared" si="13"/>
        <v/>
      </c>
      <c r="S316" t="str">
        <f>IF(A316="","", SUMIFS(جدول [2]الأقساط!$E:$E, جدول [2]الأقساط!$B:$B, A316))</f>
        <v/>
      </c>
      <c r="T316" t="str">
        <f t="shared" si="14"/>
        <v/>
      </c>
    </row>
    <row r="317" spans="3:20" x14ac:dyDescent="0.25">
      <c r="C317" t="str">
        <f>IF(B317="","",IFERROR(VLOOKUP(B317,المشاريع!$A:$B,2,FALSE),"⚠️ المشروع غير موجود"))</f>
        <v/>
      </c>
      <c r="J317" t="str">
        <f t="shared" si="12"/>
        <v/>
      </c>
      <c r="O317" t="str">
        <f>IF(A317="","", SUMIFS(التحصيلات!$E:$E, التحصيلات!$I:$I, A317))</f>
        <v/>
      </c>
      <c r="P317" t="str">
        <f t="shared" si="13"/>
        <v/>
      </c>
      <c r="S317" t="str">
        <f>IF(A317="","", SUMIFS(جدول [2]الأقساط!$E:$E, جدول [2]الأقساط!$B:$B, A317))</f>
        <v/>
      </c>
      <c r="T317" t="str">
        <f t="shared" si="14"/>
        <v/>
      </c>
    </row>
    <row r="318" spans="3:20" x14ac:dyDescent="0.25">
      <c r="C318" t="str">
        <f>IF(B318="","",IFERROR(VLOOKUP(B318,المشاريع!$A:$B,2,FALSE),"⚠️ المشروع غير موجود"))</f>
        <v/>
      </c>
      <c r="J318" t="str">
        <f t="shared" si="12"/>
        <v/>
      </c>
      <c r="O318" t="str">
        <f>IF(A318="","", SUMIFS(التحصيلات!$E:$E, التحصيلات!$I:$I, A318))</f>
        <v/>
      </c>
      <c r="P318" t="str">
        <f t="shared" si="13"/>
        <v/>
      </c>
      <c r="S318" t="str">
        <f>IF(A318="","", SUMIFS(جدول [2]الأقساط!$E:$E, جدول [2]الأقساط!$B:$B, A318))</f>
        <v/>
      </c>
      <c r="T318" t="str">
        <f t="shared" si="14"/>
        <v/>
      </c>
    </row>
    <row r="319" spans="3:20" x14ac:dyDescent="0.25">
      <c r="C319" t="str">
        <f>IF(B319="","",IFERROR(VLOOKUP(B319,المشاريع!$A:$B,2,FALSE),"⚠️ المشروع غير موجود"))</f>
        <v/>
      </c>
      <c r="J319" t="str">
        <f t="shared" si="12"/>
        <v/>
      </c>
      <c r="O319" t="str">
        <f>IF(A319="","", SUMIFS(التحصيلات!$E:$E, التحصيلات!$I:$I, A319))</f>
        <v/>
      </c>
      <c r="P319" t="str">
        <f t="shared" si="13"/>
        <v/>
      </c>
      <c r="S319" t="str">
        <f>IF(A319="","", SUMIFS(جدول [2]الأقساط!$E:$E, جدول [2]الأقساط!$B:$B, A319))</f>
        <v/>
      </c>
      <c r="T319" t="str">
        <f t="shared" si="14"/>
        <v/>
      </c>
    </row>
    <row r="320" spans="3:20" x14ac:dyDescent="0.25">
      <c r="C320" t="str">
        <f>IF(B320="","",IFERROR(VLOOKUP(B320,المشاريع!$A:$B,2,FALSE),"⚠️ المشروع غير موجود"))</f>
        <v/>
      </c>
      <c r="J320" t="str">
        <f t="shared" si="12"/>
        <v/>
      </c>
      <c r="O320" t="str">
        <f>IF(A320="","", SUMIFS(التحصيلات!$E:$E, التحصيلات!$I:$I, A320))</f>
        <v/>
      </c>
      <c r="P320" t="str">
        <f t="shared" si="13"/>
        <v/>
      </c>
      <c r="S320" t="str">
        <f>IF(A320="","", SUMIFS(جدول [2]الأقساط!$E:$E, جدول [2]الأقساط!$B:$B, A320))</f>
        <v/>
      </c>
      <c r="T320" t="str">
        <f t="shared" si="14"/>
        <v/>
      </c>
    </row>
    <row r="321" spans="3:20" x14ac:dyDescent="0.25">
      <c r="C321" t="str">
        <f>IF(B321="","",IFERROR(VLOOKUP(B321,المشاريع!$A:$B,2,FALSE),"⚠️ المشروع غير موجود"))</f>
        <v/>
      </c>
      <c r="J321" t="str">
        <f t="shared" si="12"/>
        <v/>
      </c>
      <c r="O321" t="str">
        <f>IF(A321="","", SUMIFS(التحصيلات!$E:$E, التحصيلات!$I:$I, A321))</f>
        <v/>
      </c>
      <c r="P321" t="str">
        <f t="shared" si="13"/>
        <v/>
      </c>
      <c r="S321" t="str">
        <f>IF(A321="","", SUMIFS(جدول [2]الأقساط!$E:$E, جدول [2]الأقساط!$B:$B, A321))</f>
        <v/>
      </c>
      <c r="T321" t="str">
        <f t="shared" si="14"/>
        <v/>
      </c>
    </row>
    <row r="322" spans="3:20" x14ac:dyDescent="0.25">
      <c r="C322" t="str">
        <f>IF(B322="","",IFERROR(VLOOKUP(B322,المشاريع!$A:$B,2,FALSE),"⚠️ المشروع غير موجود"))</f>
        <v/>
      </c>
      <c r="J322" t="str">
        <f t="shared" si="12"/>
        <v/>
      </c>
      <c r="O322" t="str">
        <f>IF(A322="","", SUMIFS(التحصيلات!$E:$E, التحصيلات!$I:$I, A322))</f>
        <v/>
      </c>
      <c r="P322" t="str">
        <f t="shared" si="13"/>
        <v/>
      </c>
      <c r="S322" t="str">
        <f>IF(A322="","", SUMIFS(جدول [2]الأقساط!$E:$E, جدول [2]الأقساط!$B:$B, A322))</f>
        <v/>
      </c>
      <c r="T322" t="str">
        <f t="shared" si="14"/>
        <v/>
      </c>
    </row>
    <row r="323" spans="3:20" x14ac:dyDescent="0.25">
      <c r="C323" t="str">
        <f>IF(B323="","",IFERROR(VLOOKUP(B323,المشاريع!$A:$B,2,FALSE),"⚠️ المشروع غير موجود"))</f>
        <v/>
      </c>
      <c r="J323" t="str">
        <f t="shared" ref="J323:J386" si="15">IF(G323="","", G323 - IF(I323="",0,I323))</f>
        <v/>
      </c>
      <c r="O323" t="str">
        <f>IF(A323="","", SUMIFS(التحصيلات!$E:$E, التحصيلات!$I:$I, A323))</f>
        <v/>
      </c>
      <c r="P323" t="str">
        <f t="shared" ref="P323:P386" si="16">IF(G323="","", G323 - O323)</f>
        <v/>
      </c>
      <c r="S323" t="str">
        <f>IF(A323="","", SUMIFS(جدول [2]الأقساط!$E:$E, جدول [2]الأقساط!$B:$B, A323))</f>
        <v/>
      </c>
      <c r="T323" t="str">
        <f t="shared" ref="T323:T386" si="17">IF(A323="","", IF(OR(H323="تقسيط", H323="كاش + تقسيط"), IF(ROUND(ABS(S323-J323),2)&gt;0, "⚠️ جدول الأقساط غير متطابق", "سليم"), "سليم"))</f>
        <v/>
      </c>
    </row>
    <row r="324" spans="3:20" x14ac:dyDescent="0.25">
      <c r="C324" t="str">
        <f>IF(B324="","",IFERROR(VLOOKUP(B324,المشاريع!$A:$B,2,FALSE),"⚠️ المشروع غير موجود"))</f>
        <v/>
      </c>
      <c r="J324" t="str">
        <f t="shared" si="15"/>
        <v/>
      </c>
      <c r="O324" t="str">
        <f>IF(A324="","", SUMIFS(التحصيلات!$E:$E, التحصيلات!$I:$I, A324))</f>
        <v/>
      </c>
      <c r="P324" t="str">
        <f t="shared" si="16"/>
        <v/>
      </c>
      <c r="S324" t="str">
        <f>IF(A324="","", SUMIFS(جدول [2]الأقساط!$E:$E, جدول [2]الأقساط!$B:$B, A324))</f>
        <v/>
      </c>
      <c r="T324" t="str">
        <f t="shared" si="17"/>
        <v/>
      </c>
    </row>
    <row r="325" spans="3:20" x14ac:dyDescent="0.25">
      <c r="C325" t="str">
        <f>IF(B325="","",IFERROR(VLOOKUP(B325,المشاريع!$A:$B,2,FALSE),"⚠️ المشروع غير موجود"))</f>
        <v/>
      </c>
      <c r="J325" t="str">
        <f t="shared" si="15"/>
        <v/>
      </c>
      <c r="O325" t="str">
        <f>IF(A325="","", SUMIFS(التحصيلات!$E:$E, التحصيلات!$I:$I, A325))</f>
        <v/>
      </c>
      <c r="P325" t="str">
        <f t="shared" si="16"/>
        <v/>
      </c>
      <c r="S325" t="str">
        <f>IF(A325="","", SUMIFS(جدول [2]الأقساط!$E:$E, جدول [2]الأقساط!$B:$B, A325))</f>
        <v/>
      </c>
      <c r="T325" t="str">
        <f t="shared" si="17"/>
        <v/>
      </c>
    </row>
    <row r="326" spans="3:20" x14ac:dyDescent="0.25">
      <c r="C326" t="str">
        <f>IF(B326="","",IFERROR(VLOOKUP(B326,المشاريع!$A:$B,2,FALSE),"⚠️ المشروع غير موجود"))</f>
        <v/>
      </c>
      <c r="J326" t="str">
        <f t="shared" si="15"/>
        <v/>
      </c>
      <c r="O326" t="str">
        <f>IF(A326="","", SUMIFS(التحصيلات!$E:$E, التحصيلات!$I:$I, A326))</f>
        <v/>
      </c>
      <c r="P326" t="str">
        <f t="shared" si="16"/>
        <v/>
      </c>
      <c r="S326" t="str">
        <f>IF(A326="","", SUMIFS(جدول [2]الأقساط!$E:$E, جدول [2]الأقساط!$B:$B, A326))</f>
        <v/>
      </c>
      <c r="T326" t="str">
        <f t="shared" si="17"/>
        <v/>
      </c>
    </row>
    <row r="327" spans="3:20" x14ac:dyDescent="0.25">
      <c r="C327" t="str">
        <f>IF(B327="","",IFERROR(VLOOKUP(B327,المشاريع!$A:$B,2,FALSE),"⚠️ المشروع غير موجود"))</f>
        <v/>
      </c>
      <c r="J327" t="str">
        <f t="shared" si="15"/>
        <v/>
      </c>
      <c r="O327" t="str">
        <f>IF(A327="","", SUMIFS(التحصيلات!$E:$E, التحصيلات!$I:$I, A327))</f>
        <v/>
      </c>
      <c r="P327" t="str">
        <f t="shared" si="16"/>
        <v/>
      </c>
      <c r="S327" t="str">
        <f>IF(A327="","", SUMIFS(جدول [2]الأقساط!$E:$E, جدول [2]الأقساط!$B:$B, A327))</f>
        <v/>
      </c>
      <c r="T327" t="str">
        <f t="shared" si="17"/>
        <v/>
      </c>
    </row>
    <row r="328" spans="3:20" x14ac:dyDescent="0.25">
      <c r="C328" t="str">
        <f>IF(B328="","",IFERROR(VLOOKUP(B328,المشاريع!$A:$B,2,FALSE),"⚠️ المشروع غير موجود"))</f>
        <v/>
      </c>
      <c r="J328" t="str">
        <f t="shared" si="15"/>
        <v/>
      </c>
      <c r="O328" t="str">
        <f>IF(A328="","", SUMIFS(التحصيلات!$E:$E, التحصيلات!$I:$I, A328))</f>
        <v/>
      </c>
      <c r="P328" t="str">
        <f t="shared" si="16"/>
        <v/>
      </c>
      <c r="S328" t="str">
        <f>IF(A328="","", SUMIFS(جدول [2]الأقساط!$E:$E, جدول [2]الأقساط!$B:$B, A328))</f>
        <v/>
      </c>
      <c r="T328" t="str">
        <f t="shared" si="17"/>
        <v/>
      </c>
    </row>
    <row r="329" spans="3:20" x14ac:dyDescent="0.25">
      <c r="C329" t="str">
        <f>IF(B329="","",IFERROR(VLOOKUP(B329,المشاريع!$A:$B,2,FALSE),"⚠️ المشروع غير موجود"))</f>
        <v/>
      </c>
      <c r="J329" t="str">
        <f t="shared" si="15"/>
        <v/>
      </c>
      <c r="O329" t="str">
        <f>IF(A329="","", SUMIFS(التحصيلات!$E:$E, التحصيلات!$I:$I, A329))</f>
        <v/>
      </c>
      <c r="P329" t="str">
        <f t="shared" si="16"/>
        <v/>
      </c>
      <c r="S329" t="str">
        <f>IF(A329="","", SUMIFS(جدول [2]الأقساط!$E:$E, جدول [2]الأقساط!$B:$B, A329))</f>
        <v/>
      </c>
      <c r="T329" t="str">
        <f t="shared" si="17"/>
        <v/>
      </c>
    </row>
    <row r="330" spans="3:20" x14ac:dyDescent="0.25">
      <c r="C330" t="str">
        <f>IF(B330="","",IFERROR(VLOOKUP(B330,المشاريع!$A:$B,2,FALSE),"⚠️ المشروع غير موجود"))</f>
        <v/>
      </c>
      <c r="J330" t="str">
        <f t="shared" si="15"/>
        <v/>
      </c>
      <c r="O330" t="str">
        <f>IF(A330="","", SUMIFS(التحصيلات!$E:$E, التحصيلات!$I:$I, A330))</f>
        <v/>
      </c>
      <c r="P330" t="str">
        <f t="shared" si="16"/>
        <v/>
      </c>
      <c r="S330" t="str">
        <f>IF(A330="","", SUMIFS(جدول [2]الأقساط!$E:$E, جدول [2]الأقساط!$B:$B, A330))</f>
        <v/>
      </c>
      <c r="T330" t="str">
        <f t="shared" si="17"/>
        <v/>
      </c>
    </row>
    <row r="331" spans="3:20" x14ac:dyDescent="0.25">
      <c r="C331" t="str">
        <f>IF(B331="","",IFERROR(VLOOKUP(B331,المشاريع!$A:$B,2,FALSE),"⚠️ المشروع غير موجود"))</f>
        <v/>
      </c>
      <c r="J331" t="str">
        <f t="shared" si="15"/>
        <v/>
      </c>
      <c r="O331" t="str">
        <f>IF(A331="","", SUMIFS(التحصيلات!$E:$E, التحصيلات!$I:$I, A331))</f>
        <v/>
      </c>
      <c r="P331" t="str">
        <f t="shared" si="16"/>
        <v/>
      </c>
      <c r="S331" t="str">
        <f>IF(A331="","", SUMIFS(جدول [2]الأقساط!$E:$E, جدول [2]الأقساط!$B:$B, A331))</f>
        <v/>
      </c>
      <c r="T331" t="str">
        <f t="shared" si="17"/>
        <v/>
      </c>
    </row>
    <row r="332" spans="3:20" x14ac:dyDescent="0.25">
      <c r="C332" t="str">
        <f>IF(B332="","",IFERROR(VLOOKUP(B332,المشاريع!$A:$B,2,FALSE),"⚠️ المشروع غير موجود"))</f>
        <v/>
      </c>
      <c r="J332" t="str">
        <f t="shared" si="15"/>
        <v/>
      </c>
      <c r="O332" t="str">
        <f>IF(A332="","", SUMIFS(التحصيلات!$E:$E, التحصيلات!$I:$I, A332))</f>
        <v/>
      </c>
      <c r="P332" t="str">
        <f t="shared" si="16"/>
        <v/>
      </c>
      <c r="S332" t="str">
        <f>IF(A332="","", SUMIFS(جدول [2]الأقساط!$E:$E, جدول [2]الأقساط!$B:$B, A332))</f>
        <v/>
      </c>
      <c r="T332" t="str">
        <f t="shared" si="17"/>
        <v/>
      </c>
    </row>
    <row r="333" spans="3:20" x14ac:dyDescent="0.25">
      <c r="C333" t="str">
        <f>IF(B333="","",IFERROR(VLOOKUP(B333,المشاريع!$A:$B,2,FALSE),"⚠️ المشروع غير موجود"))</f>
        <v/>
      </c>
      <c r="J333" t="str">
        <f t="shared" si="15"/>
        <v/>
      </c>
      <c r="O333" t="str">
        <f>IF(A333="","", SUMIFS(التحصيلات!$E:$E, التحصيلات!$I:$I, A333))</f>
        <v/>
      </c>
      <c r="P333" t="str">
        <f t="shared" si="16"/>
        <v/>
      </c>
      <c r="S333" t="str">
        <f>IF(A333="","", SUMIFS(جدول [2]الأقساط!$E:$E, جدول [2]الأقساط!$B:$B, A333))</f>
        <v/>
      </c>
      <c r="T333" t="str">
        <f t="shared" si="17"/>
        <v/>
      </c>
    </row>
    <row r="334" spans="3:20" x14ac:dyDescent="0.25">
      <c r="C334" t="str">
        <f>IF(B334="","",IFERROR(VLOOKUP(B334,المشاريع!$A:$B,2,FALSE),"⚠️ المشروع غير موجود"))</f>
        <v/>
      </c>
      <c r="J334" t="str">
        <f t="shared" si="15"/>
        <v/>
      </c>
      <c r="O334" t="str">
        <f>IF(A334="","", SUMIFS(التحصيلات!$E:$E, التحصيلات!$I:$I, A334))</f>
        <v/>
      </c>
      <c r="P334" t="str">
        <f t="shared" si="16"/>
        <v/>
      </c>
      <c r="S334" t="str">
        <f>IF(A334="","", SUMIFS(جدول [2]الأقساط!$E:$E, جدول [2]الأقساط!$B:$B, A334))</f>
        <v/>
      </c>
      <c r="T334" t="str">
        <f t="shared" si="17"/>
        <v/>
      </c>
    </row>
    <row r="335" spans="3:20" x14ac:dyDescent="0.25">
      <c r="C335" t="str">
        <f>IF(B335="","",IFERROR(VLOOKUP(B335,المشاريع!$A:$B,2,FALSE),"⚠️ المشروع غير موجود"))</f>
        <v/>
      </c>
      <c r="J335" t="str">
        <f t="shared" si="15"/>
        <v/>
      </c>
      <c r="O335" t="str">
        <f>IF(A335="","", SUMIFS(التحصيلات!$E:$E, التحصيلات!$I:$I, A335))</f>
        <v/>
      </c>
      <c r="P335" t="str">
        <f t="shared" si="16"/>
        <v/>
      </c>
      <c r="S335" t="str">
        <f>IF(A335="","", SUMIFS(جدول [2]الأقساط!$E:$E, جدول [2]الأقساط!$B:$B, A335))</f>
        <v/>
      </c>
      <c r="T335" t="str">
        <f t="shared" si="17"/>
        <v/>
      </c>
    </row>
    <row r="336" spans="3:20" x14ac:dyDescent="0.25">
      <c r="C336" t="str">
        <f>IF(B336="","",IFERROR(VLOOKUP(B336,المشاريع!$A:$B,2,FALSE),"⚠️ المشروع غير موجود"))</f>
        <v/>
      </c>
      <c r="J336" t="str">
        <f t="shared" si="15"/>
        <v/>
      </c>
      <c r="O336" t="str">
        <f>IF(A336="","", SUMIFS(التحصيلات!$E:$E, التحصيلات!$I:$I, A336))</f>
        <v/>
      </c>
      <c r="P336" t="str">
        <f t="shared" si="16"/>
        <v/>
      </c>
      <c r="S336" t="str">
        <f>IF(A336="","", SUMIFS(جدول [2]الأقساط!$E:$E, جدول [2]الأقساط!$B:$B, A336))</f>
        <v/>
      </c>
      <c r="T336" t="str">
        <f t="shared" si="17"/>
        <v/>
      </c>
    </row>
    <row r="337" spans="3:20" x14ac:dyDescent="0.25">
      <c r="C337" t="str">
        <f>IF(B337="","",IFERROR(VLOOKUP(B337,المشاريع!$A:$B,2,FALSE),"⚠️ المشروع غير موجود"))</f>
        <v/>
      </c>
      <c r="J337" t="str">
        <f t="shared" si="15"/>
        <v/>
      </c>
      <c r="O337" t="str">
        <f>IF(A337="","", SUMIFS(التحصيلات!$E:$E, التحصيلات!$I:$I, A337))</f>
        <v/>
      </c>
      <c r="P337" t="str">
        <f t="shared" si="16"/>
        <v/>
      </c>
      <c r="S337" t="str">
        <f>IF(A337="","", SUMIFS(جدول [2]الأقساط!$E:$E, جدول [2]الأقساط!$B:$B, A337))</f>
        <v/>
      </c>
      <c r="T337" t="str">
        <f t="shared" si="17"/>
        <v/>
      </c>
    </row>
    <row r="338" spans="3:20" x14ac:dyDescent="0.25">
      <c r="C338" t="str">
        <f>IF(B338="","",IFERROR(VLOOKUP(B338,المشاريع!$A:$B,2,FALSE),"⚠️ المشروع غير موجود"))</f>
        <v/>
      </c>
      <c r="J338" t="str">
        <f t="shared" si="15"/>
        <v/>
      </c>
      <c r="O338" t="str">
        <f>IF(A338="","", SUMIFS(التحصيلات!$E:$E, التحصيلات!$I:$I, A338))</f>
        <v/>
      </c>
      <c r="P338" t="str">
        <f t="shared" si="16"/>
        <v/>
      </c>
      <c r="S338" t="str">
        <f>IF(A338="","", SUMIFS(جدول [2]الأقساط!$E:$E, جدول [2]الأقساط!$B:$B, A338))</f>
        <v/>
      </c>
      <c r="T338" t="str">
        <f t="shared" si="17"/>
        <v/>
      </c>
    </row>
    <row r="339" spans="3:20" x14ac:dyDescent="0.25">
      <c r="C339" t="str">
        <f>IF(B339="","",IFERROR(VLOOKUP(B339,المشاريع!$A:$B,2,FALSE),"⚠️ المشروع غير موجود"))</f>
        <v/>
      </c>
      <c r="J339" t="str">
        <f t="shared" si="15"/>
        <v/>
      </c>
      <c r="O339" t="str">
        <f>IF(A339="","", SUMIFS(التحصيلات!$E:$E, التحصيلات!$I:$I, A339))</f>
        <v/>
      </c>
      <c r="P339" t="str">
        <f t="shared" si="16"/>
        <v/>
      </c>
      <c r="S339" t="str">
        <f>IF(A339="","", SUMIFS(جدول [2]الأقساط!$E:$E, جدول [2]الأقساط!$B:$B, A339))</f>
        <v/>
      </c>
      <c r="T339" t="str">
        <f t="shared" si="17"/>
        <v/>
      </c>
    </row>
    <row r="340" spans="3:20" x14ac:dyDescent="0.25">
      <c r="C340" t="str">
        <f>IF(B340="","",IFERROR(VLOOKUP(B340,المشاريع!$A:$B,2,FALSE),"⚠️ المشروع غير موجود"))</f>
        <v/>
      </c>
      <c r="J340" t="str">
        <f t="shared" si="15"/>
        <v/>
      </c>
      <c r="O340" t="str">
        <f>IF(A340="","", SUMIFS(التحصيلات!$E:$E, التحصيلات!$I:$I, A340))</f>
        <v/>
      </c>
      <c r="P340" t="str">
        <f t="shared" si="16"/>
        <v/>
      </c>
      <c r="S340" t="str">
        <f>IF(A340="","", SUMIFS(جدول [2]الأقساط!$E:$E, جدول [2]الأقساط!$B:$B, A340))</f>
        <v/>
      </c>
      <c r="T340" t="str">
        <f t="shared" si="17"/>
        <v/>
      </c>
    </row>
    <row r="341" spans="3:20" x14ac:dyDescent="0.25">
      <c r="C341" t="str">
        <f>IF(B341="","",IFERROR(VLOOKUP(B341,المشاريع!$A:$B,2,FALSE),"⚠️ المشروع غير موجود"))</f>
        <v/>
      </c>
      <c r="J341" t="str">
        <f t="shared" si="15"/>
        <v/>
      </c>
      <c r="O341" t="str">
        <f>IF(A341="","", SUMIFS(التحصيلات!$E:$E, التحصيلات!$I:$I, A341))</f>
        <v/>
      </c>
      <c r="P341" t="str">
        <f t="shared" si="16"/>
        <v/>
      </c>
      <c r="S341" t="str">
        <f>IF(A341="","", SUMIFS(جدول [2]الأقساط!$E:$E, جدول [2]الأقساط!$B:$B, A341))</f>
        <v/>
      </c>
      <c r="T341" t="str">
        <f t="shared" si="17"/>
        <v/>
      </c>
    </row>
    <row r="342" spans="3:20" x14ac:dyDescent="0.25">
      <c r="C342" t="str">
        <f>IF(B342="","",IFERROR(VLOOKUP(B342,المشاريع!$A:$B,2,FALSE),"⚠️ المشروع غير موجود"))</f>
        <v/>
      </c>
      <c r="J342" t="str">
        <f t="shared" si="15"/>
        <v/>
      </c>
      <c r="O342" t="str">
        <f>IF(A342="","", SUMIFS(التحصيلات!$E:$E, التحصيلات!$I:$I, A342))</f>
        <v/>
      </c>
      <c r="P342" t="str">
        <f t="shared" si="16"/>
        <v/>
      </c>
      <c r="S342" t="str">
        <f>IF(A342="","", SUMIFS(جدول [2]الأقساط!$E:$E, جدول [2]الأقساط!$B:$B, A342))</f>
        <v/>
      </c>
      <c r="T342" t="str">
        <f t="shared" si="17"/>
        <v/>
      </c>
    </row>
    <row r="343" spans="3:20" x14ac:dyDescent="0.25">
      <c r="C343" t="str">
        <f>IF(B343="","",IFERROR(VLOOKUP(B343,المشاريع!$A:$B,2,FALSE),"⚠️ المشروع غير موجود"))</f>
        <v/>
      </c>
      <c r="J343" t="str">
        <f t="shared" si="15"/>
        <v/>
      </c>
      <c r="O343" t="str">
        <f>IF(A343="","", SUMIFS(التحصيلات!$E:$E, التحصيلات!$I:$I, A343))</f>
        <v/>
      </c>
      <c r="P343" t="str">
        <f t="shared" si="16"/>
        <v/>
      </c>
      <c r="S343" t="str">
        <f>IF(A343="","", SUMIFS(جدول [2]الأقساط!$E:$E, جدول [2]الأقساط!$B:$B, A343))</f>
        <v/>
      </c>
      <c r="T343" t="str">
        <f t="shared" si="17"/>
        <v/>
      </c>
    </row>
    <row r="344" spans="3:20" x14ac:dyDescent="0.25">
      <c r="C344" t="str">
        <f>IF(B344="","",IFERROR(VLOOKUP(B344,المشاريع!$A:$B,2,FALSE),"⚠️ المشروع غير موجود"))</f>
        <v/>
      </c>
      <c r="J344" t="str">
        <f t="shared" si="15"/>
        <v/>
      </c>
      <c r="O344" t="str">
        <f>IF(A344="","", SUMIFS(التحصيلات!$E:$E, التحصيلات!$I:$I, A344))</f>
        <v/>
      </c>
      <c r="P344" t="str">
        <f t="shared" si="16"/>
        <v/>
      </c>
      <c r="S344" t="str">
        <f>IF(A344="","", SUMIFS(جدول [2]الأقساط!$E:$E, جدول [2]الأقساط!$B:$B, A344))</f>
        <v/>
      </c>
      <c r="T344" t="str">
        <f t="shared" si="17"/>
        <v/>
      </c>
    </row>
    <row r="345" spans="3:20" x14ac:dyDescent="0.25">
      <c r="C345" t="str">
        <f>IF(B345="","",IFERROR(VLOOKUP(B345,المشاريع!$A:$B,2,FALSE),"⚠️ المشروع غير موجود"))</f>
        <v/>
      </c>
      <c r="J345" t="str">
        <f t="shared" si="15"/>
        <v/>
      </c>
      <c r="O345" t="str">
        <f>IF(A345="","", SUMIFS(التحصيلات!$E:$E, التحصيلات!$I:$I, A345))</f>
        <v/>
      </c>
      <c r="P345" t="str">
        <f t="shared" si="16"/>
        <v/>
      </c>
      <c r="S345" t="str">
        <f>IF(A345="","", SUMIFS(جدول [2]الأقساط!$E:$E, جدول [2]الأقساط!$B:$B, A345))</f>
        <v/>
      </c>
      <c r="T345" t="str">
        <f t="shared" si="17"/>
        <v/>
      </c>
    </row>
    <row r="346" spans="3:20" x14ac:dyDescent="0.25">
      <c r="C346" t="str">
        <f>IF(B346="","",IFERROR(VLOOKUP(B346,المشاريع!$A:$B,2,FALSE),"⚠️ المشروع غير موجود"))</f>
        <v/>
      </c>
      <c r="J346" t="str">
        <f t="shared" si="15"/>
        <v/>
      </c>
      <c r="O346" t="str">
        <f>IF(A346="","", SUMIFS(التحصيلات!$E:$E, التحصيلات!$I:$I, A346))</f>
        <v/>
      </c>
      <c r="P346" t="str">
        <f t="shared" si="16"/>
        <v/>
      </c>
      <c r="S346" t="str">
        <f>IF(A346="","", SUMIFS(جدول [2]الأقساط!$E:$E, جدول [2]الأقساط!$B:$B, A346))</f>
        <v/>
      </c>
      <c r="T346" t="str">
        <f t="shared" si="17"/>
        <v/>
      </c>
    </row>
    <row r="347" spans="3:20" x14ac:dyDescent="0.25">
      <c r="C347" t="str">
        <f>IF(B347="","",IFERROR(VLOOKUP(B347,المشاريع!$A:$B,2,FALSE),"⚠️ المشروع غير موجود"))</f>
        <v/>
      </c>
      <c r="J347" t="str">
        <f t="shared" si="15"/>
        <v/>
      </c>
      <c r="O347" t="str">
        <f>IF(A347="","", SUMIFS(التحصيلات!$E:$E, التحصيلات!$I:$I, A347))</f>
        <v/>
      </c>
      <c r="P347" t="str">
        <f t="shared" si="16"/>
        <v/>
      </c>
      <c r="S347" t="str">
        <f>IF(A347="","", SUMIFS(جدول [2]الأقساط!$E:$E, جدول [2]الأقساط!$B:$B, A347))</f>
        <v/>
      </c>
      <c r="T347" t="str">
        <f t="shared" si="17"/>
        <v/>
      </c>
    </row>
    <row r="348" spans="3:20" x14ac:dyDescent="0.25">
      <c r="C348" t="str">
        <f>IF(B348="","",IFERROR(VLOOKUP(B348,المشاريع!$A:$B,2,FALSE),"⚠️ المشروع غير موجود"))</f>
        <v/>
      </c>
      <c r="J348" t="str">
        <f t="shared" si="15"/>
        <v/>
      </c>
      <c r="O348" t="str">
        <f>IF(A348="","", SUMIFS(التحصيلات!$E:$E, التحصيلات!$I:$I, A348))</f>
        <v/>
      </c>
      <c r="P348" t="str">
        <f t="shared" si="16"/>
        <v/>
      </c>
      <c r="S348" t="str">
        <f>IF(A348="","", SUMIFS(جدول [2]الأقساط!$E:$E, جدول [2]الأقساط!$B:$B, A348))</f>
        <v/>
      </c>
      <c r="T348" t="str">
        <f t="shared" si="17"/>
        <v/>
      </c>
    </row>
    <row r="349" spans="3:20" x14ac:dyDescent="0.25">
      <c r="C349" t="str">
        <f>IF(B349="","",IFERROR(VLOOKUP(B349,المشاريع!$A:$B,2,FALSE),"⚠️ المشروع غير موجود"))</f>
        <v/>
      </c>
      <c r="J349" t="str">
        <f t="shared" si="15"/>
        <v/>
      </c>
      <c r="O349" t="str">
        <f>IF(A349="","", SUMIFS(التحصيلات!$E:$E, التحصيلات!$I:$I, A349))</f>
        <v/>
      </c>
      <c r="P349" t="str">
        <f t="shared" si="16"/>
        <v/>
      </c>
      <c r="S349" t="str">
        <f>IF(A349="","", SUMIFS(جدول [2]الأقساط!$E:$E, جدول [2]الأقساط!$B:$B, A349))</f>
        <v/>
      </c>
      <c r="T349" t="str">
        <f t="shared" si="17"/>
        <v/>
      </c>
    </row>
    <row r="350" spans="3:20" x14ac:dyDescent="0.25">
      <c r="C350" t="str">
        <f>IF(B350="","",IFERROR(VLOOKUP(B350,المشاريع!$A:$B,2,FALSE),"⚠️ المشروع غير موجود"))</f>
        <v/>
      </c>
      <c r="J350" t="str">
        <f t="shared" si="15"/>
        <v/>
      </c>
      <c r="O350" t="str">
        <f>IF(A350="","", SUMIFS(التحصيلات!$E:$E, التحصيلات!$I:$I, A350))</f>
        <v/>
      </c>
      <c r="P350" t="str">
        <f t="shared" si="16"/>
        <v/>
      </c>
      <c r="S350" t="str">
        <f>IF(A350="","", SUMIFS(جدول [2]الأقساط!$E:$E, جدول [2]الأقساط!$B:$B, A350))</f>
        <v/>
      </c>
      <c r="T350" t="str">
        <f t="shared" si="17"/>
        <v/>
      </c>
    </row>
    <row r="351" spans="3:20" x14ac:dyDescent="0.25">
      <c r="C351" t="str">
        <f>IF(B351="","",IFERROR(VLOOKUP(B351,المشاريع!$A:$B,2,FALSE),"⚠️ المشروع غير موجود"))</f>
        <v/>
      </c>
      <c r="J351" t="str">
        <f t="shared" si="15"/>
        <v/>
      </c>
      <c r="O351" t="str">
        <f>IF(A351="","", SUMIFS(التحصيلات!$E:$E, التحصيلات!$I:$I, A351))</f>
        <v/>
      </c>
      <c r="P351" t="str">
        <f t="shared" si="16"/>
        <v/>
      </c>
      <c r="S351" t="str">
        <f>IF(A351="","", SUMIFS(جدول [2]الأقساط!$E:$E, جدول [2]الأقساط!$B:$B, A351))</f>
        <v/>
      </c>
      <c r="T351" t="str">
        <f t="shared" si="17"/>
        <v/>
      </c>
    </row>
    <row r="352" spans="3:20" x14ac:dyDescent="0.25">
      <c r="C352" t="str">
        <f>IF(B352="","",IFERROR(VLOOKUP(B352,المشاريع!$A:$B,2,FALSE),"⚠️ المشروع غير موجود"))</f>
        <v/>
      </c>
      <c r="J352" t="str">
        <f t="shared" si="15"/>
        <v/>
      </c>
      <c r="O352" t="str">
        <f>IF(A352="","", SUMIFS(التحصيلات!$E:$E, التحصيلات!$I:$I, A352))</f>
        <v/>
      </c>
      <c r="P352" t="str">
        <f t="shared" si="16"/>
        <v/>
      </c>
      <c r="S352" t="str">
        <f>IF(A352="","", SUMIFS(جدول [2]الأقساط!$E:$E, جدول [2]الأقساط!$B:$B, A352))</f>
        <v/>
      </c>
      <c r="T352" t="str">
        <f t="shared" si="17"/>
        <v/>
      </c>
    </row>
    <row r="353" spans="3:20" x14ac:dyDescent="0.25">
      <c r="C353" t="str">
        <f>IF(B353="","",IFERROR(VLOOKUP(B353,المشاريع!$A:$B,2,FALSE),"⚠️ المشروع غير موجود"))</f>
        <v/>
      </c>
      <c r="J353" t="str">
        <f t="shared" si="15"/>
        <v/>
      </c>
      <c r="O353" t="str">
        <f>IF(A353="","", SUMIFS(التحصيلات!$E:$E, التحصيلات!$I:$I, A353))</f>
        <v/>
      </c>
      <c r="P353" t="str">
        <f t="shared" si="16"/>
        <v/>
      </c>
      <c r="S353" t="str">
        <f>IF(A353="","", SUMIFS(جدول [2]الأقساط!$E:$E, جدول [2]الأقساط!$B:$B, A353))</f>
        <v/>
      </c>
      <c r="T353" t="str">
        <f t="shared" si="17"/>
        <v/>
      </c>
    </row>
    <row r="354" spans="3:20" x14ac:dyDescent="0.25">
      <c r="C354" t="str">
        <f>IF(B354="","",IFERROR(VLOOKUP(B354,المشاريع!$A:$B,2,FALSE),"⚠️ المشروع غير موجود"))</f>
        <v/>
      </c>
      <c r="J354" t="str">
        <f t="shared" si="15"/>
        <v/>
      </c>
      <c r="O354" t="str">
        <f>IF(A354="","", SUMIFS(التحصيلات!$E:$E, التحصيلات!$I:$I, A354))</f>
        <v/>
      </c>
      <c r="P354" t="str">
        <f t="shared" si="16"/>
        <v/>
      </c>
      <c r="S354" t="str">
        <f>IF(A354="","", SUMIFS(جدول [2]الأقساط!$E:$E, جدول [2]الأقساط!$B:$B, A354))</f>
        <v/>
      </c>
      <c r="T354" t="str">
        <f t="shared" si="17"/>
        <v/>
      </c>
    </row>
    <row r="355" spans="3:20" x14ac:dyDescent="0.25">
      <c r="C355" t="str">
        <f>IF(B355="","",IFERROR(VLOOKUP(B355,المشاريع!$A:$B,2,FALSE),"⚠️ المشروع غير موجود"))</f>
        <v/>
      </c>
      <c r="J355" t="str">
        <f t="shared" si="15"/>
        <v/>
      </c>
      <c r="O355" t="str">
        <f>IF(A355="","", SUMIFS(التحصيلات!$E:$E, التحصيلات!$I:$I, A355))</f>
        <v/>
      </c>
      <c r="P355" t="str">
        <f t="shared" si="16"/>
        <v/>
      </c>
      <c r="S355" t="str">
        <f>IF(A355="","", SUMIFS(جدول [2]الأقساط!$E:$E, جدول [2]الأقساط!$B:$B, A355))</f>
        <v/>
      </c>
      <c r="T355" t="str">
        <f t="shared" si="17"/>
        <v/>
      </c>
    </row>
    <row r="356" spans="3:20" x14ac:dyDescent="0.25">
      <c r="C356" t="str">
        <f>IF(B356="","",IFERROR(VLOOKUP(B356,المشاريع!$A:$B,2,FALSE),"⚠️ المشروع غير موجود"))</f>
        <v/>
      </c>
      <c r="J356" t="str">
        <f t="shared" si="15"/>
        <v/>
      </c>
      <c r="O356" t="str">
        <f>IF(A356="","", SUMIFS(التحصيلات!$E:$E, التحصيلات!$I:$I, A356))</f>
        <v/>
      </c>
      <c r="P356" t="str">
        <f t="shared" si="16"/>
        <v/>
      </c>
      <c r="S356" t="str">
        <f>IF(A356="","", SUMIFS(جدول [2]الأقساط!$E:$E, جدول [2]الأقساط!$B:$B, A356))</f>
        <v/>
      </c>
      <c r="T356" t="str">
        <f t="shared" si="17"/>
        <v/>
      </c>
    </row>
    <row r="357" spans="3:20" x14ac:dyDescent="0.25">
      <c r="C357" t="str">
        <f>IF(B357="","",IFERROR(VLOOKUP(B357,المشاريع!$A:$B,2,FALSE),"⚠️ المشروع غير موجود"))</f>
        <v/>
      </c>
      <c r="J357" t="str">
        <f t="shared" si="15"/>
        <v/>
      </c>
      <c r="O357" t="str">
        <f>IF(A357="","", SUMIFS(التحصيلات!$E:$E, التحصيلات!$I:$I, A357))</f>
        <v/>
      </c>
      <c r="P357" t="str">
        <f t="shared" si="16"/>
        <v/>
      </c>
      <c r="S357" t="str">
        <f>IF(A357="","", SUMIFS(جدول [2]الأقساط!$E:$E, جدول [2]الأقساط!$B:$B, A357))</f>
        <v/>
      </c>
      <c r="T357" t="str">
        <f t="shared" si="17"/>
        <v/>
      </c>
    </row>
    <row r="358" spans="3:20" x14ac:dyDescent="0.25">
      <c r="C358" t="str">
        <f>IF(B358="","",IFERROR(VLOOKUP(B358,المشاريع!$A:$B,2,FALSE),"⚠️ المشروع غير موجود"))</f>
        <v/>
      </c>
      <c r="J358" t="str">
        <f t="shared" si="15"/>
        <v/>
      </c>
      <c r="O358" t="str">
        <f>IF(A358="","", SUMIFS(التحصيلات!$E:$E, التحصيلات!$I:$I, A358))</f>
        <v/>
      </c>
      <c r="P358" t="str">
        <f t="shared" si="16"/>
        <v/>
      </c>
      <c r="S358" t="str">
        <f>IF(A358="","", SUMIFS(جدول [2]الأقساط!$E:$E, جدول [2]الأقساط!$B:$B, A358))</f>
        <v/>
      </c>
      <c r="T358" t="str">
        <f t="shared" si="17"/>
        <v/>
      </c>
    </row>
    <row r="359" spans="3:20" x14ac:dyDescent="0.25">
      <c r="C359" t="str">
        <f>IF(B359="","",IFERROR(VLOOKUP(B359,المشاريع!$A:$B,2,FALSE),"⚠️ المشروع غير موجود"))</f>
        <v/>
      </c>
      <c r="J359" t="str">
        <f t="shared" si="15"/>
        <v/>
      </c>
      <c r="O359" t="str">
        <f>IF(A359="","", SUMIFS(التحصيلات!$E:$E, التحصيلات!$I:$I, A359))</f>
        <v/>
      </c>
      <c r="P359" t="str">
        <f t="shared" si="16"/>
        <v/>
      </c>
      <c r="S359" t="str">
        <f>IF(A359="","", SUMIFS(جدول [2]الأقساط!$E:$E, جدول [2]الأقساط!$B:$B, A359))</f>
        <v/>
      </c>
      <c r="T359" t="str">
        <f t="shared" si="17"/>
        <v/>
      </c>
    </row>
    <row r="360" spans="3:20" x14ac:dyDescent="0.25">
      <c r="C360" t="str">
        <f>IF(B360="","",IFERROR(VLOOKUP(B360,المشاريع!$A:$B,2,FALSE),"⚠️ المشروع غير موجود"))</f>
        <v/>
      </c>
      <c r="J360" t="str">
        <f t="shared" si="15"/>
        <v/>
      </c>
      <c r="O360" t="str">
        <f>IF(A360="","", SUMIFS(التحصيلات!$E:$E, التحصيلات!$I:$I, A360))</f>
        <v/>
      </c>
      <c r="P360" t="str">
        <f t="shared" si="16"/>
        <v/>
      </c>
      <c r="S360" t="str">
        <f>IF(A360="","", SUMIFS(جدول [2]الأقساط!$E:$E, جدول [2]الأقساط!$B:$B, A360))</f>
        <v/>
      </c>
      <c r="T360" t="str">
        <f t="shared" si="17"/>
        <v/>
      </c>
    </row>
    <row r="361" spans="3:20" x14ac:dyDescent="0.25">
      <c r="C361" t="str">
        <f>IF(B361="","",IFERROR(VLOOKUP(B361,المشاريع!$A:$B,2,FALSE),"⚠️ المشروع غير موجود"))</f>
        <v/>
      </c>
      <c r="J361" t="str">
        <f t="shared" si="15"/>
        <v/>
      </c>
      <c r="O361" t="str">
        <f>IF(A361="","", SUMIFS(التحصيلات!$E:$E, التحصيلات!$I:$I, A361))</f>
        <v/>
      </c>
      <c r="P361" t="str">
        <f t="shared" si="16"/>
        <v/>
      </c>
      <c r="S361" t="str">
        <f>IF(A361="","", SUMIFS(جدول [2]الأقساط!$E:$E, جدول [2]الأقساط!$B:$B, A361))</f>
        <v/>
      </c>
      <c r="T361" t="str">
        <f t="shared" si="17"/>
        <v/>
      </c>
    </row>
    <row r="362" spans="3:20" x14ac:dyDescent="0.25">
      <c r="C362" t="str">
        <f>IF(B362="","",IFERROR(VLOOKUP(B362,المشاريع!$A:$B,2,FALSE),"⚠️ المشروع غير موجود"))</f>
        <v/>
      </c>
      <c r="J362" t="str">
        <f t="shared" si="15"/>
        <v/>
      </c>
      <c r="O362" t="str">
        <f>IF(A362="","", SUMIFS(التحصيلات!$E:$E, التحصيلات!$I:$I, A362))</f>
        <v/>
      </c>
      <c r="P362" t="str">
        <f t="shared" si="16"/>
        <v/>
      </c>
      <c r="S362" t="str">
        <f>IF(A362="","", SUMIFS(جدول [2]الأقساط!$E:$E, جدول [2]الأقساط!$B:$B, A362))</f>
        <v/>
      </c>
      <c r="T362" t="str">
        <f t="shared" si="17"/>
        <v/>
      </c>
    </row>
    <row r="363" spans="3:20" x14ac:dyDescent="0.25">
      <c r="C363" t="str">
        <f>IF(B363="","",IFERROR(VLOOKUP(B363,المشاريع!$A:$B,2,FALSE),"⚠️ المشروع غير موجود"))</f>
        <v/>
      </c>
      <c r="J363" t="str">
        <f t="shared" si="15"/>
        <v/>
      </c>
      <c r="O363" t="str">
        <f>IF(A363="","", SUMIFS(التحصيلات!$E:$E, التحصيلات!$I:$I, A363))</f>
        <v/>
      </c>
      <c r="P363" t="str">
        <f t="shared" si="16"/>
        <v/>
      </c>
      <c r="S363" t="str">
        <f>IF(A363="","", SUMIFS(جدول [2]الأقساط!$E:$E, جدول [2]الأقساط!$B:$B, A363))</f>
        <v/>
      </c>
      <c r="T363" t="str">
        <f t="shared" si="17"/>
        <v/>
      </c>
    </row>
    <row r="364" spans="3:20" x14ac:dyDescent="0.25">
      <c r="C364" t="str">
        <f>IF(B364="","",IFERROR(VLOOKUP(B364,المشاريع!$A:$B,2,FALSE),"⚠️ المشروع غير موجود"))</f>
        <v/>
      </c>
      <c r="J364" t="str">
        <f t="shared" si="15"/>
        <v/>
      </c>
      <c r="O364" t="str">
        <f>IF(A364="","", SUMIFS(التحصيلات!$E:$E, التحصيلات!$I:$I, A364))</f>
        <v/>
      </c>
      <c r="P364" t="str">
        <f t="shared" si="16"/>
        <v/>
      </c>
      <c r="S364" t="str">
        <f>IF(A364="","", SUMIFS(جدول [2]الأقساط!$E:$E, جدول [2]الأقساط!$B:$B, A364))</f>
        <v/>
      </c>
      <c r="T364" t="str">
        <f t="shared" si="17"/>
        <v/>
      </c>
    </row>
    <row r="365" spans="3:20" x14ac:dyDescent="0.25">
      <c r="C365" t="str">
        <f>IF(B365="","",IFERROR(VLOOKUP(B365,المشاريع!$A:$B,2,FALSE),"⚠️ المشروع غير موجود"))</f>
        <v/>
      </c>
      <c r="J365" t="str">
        <f t="shared" si="15"/>
        <v/>
      </c>
      <c r="O365" t="str">
        <f>IF(A365="","", SUMIFS(التحصيلات!$E:$E, التحصيلات!$I:$I, A365))</f>
        <v/>
      </c>
      <c r="P365" t="str">
        <f t="shared" si="16"/>
        <v/>
      </c>
      <c r="S365" t="str">
        <f>IF(A365="","", SUMIFS(جدول [2]الأقساط!$E:$E, جدول [2]الأقساط!$B:$B, A365))</f>
        <v/>
      </c>
      <c r="T365" t="str">
        <f t="shared" si="17"/>
        <v/>
      </c>
    </row>
    <row r="366" spans="3:20" x14ac:dyDescent="0.25">
      <c r="C366" t="str">
        <f>IF(B366="","",IFERROR(VLOOKUP(B366,المشاريع!$A:$B,2,FALSE),"⚠️ المشروع غير موجود"))</f>
        <v/>
      </c>
      <c r="J366" t="str">
        <f t="shared" si="15"/>
        <v/>
      </c>
      <c r="O366" t="str">
        <f>IF(A366="","", SUMIFS(التحصيلات!$E:$E, التحصيلات!$I:$I, A366))</f>
        <v/>
      </c>
      <c r="P366" t="str">
        <f t="shared" si="16"/>
        <v/>
      </c>
      <c r="S366" t="str">
        <f>IF(A366="","", SUMIFS(جدول [2]الأقساط!$E:$E, جدول [2]الأقساط!$B:$B, A366))</f>
        <v/>
      </c>
      <c r="T366" t="str">
        <f t="shared" si="17"/>
        <v/>
      </c>
    </row>
    <row r="367" spans="3:20" x14ac:dyDescent="0.25">
      <c r="C367" t="str">
        <f>IF(B367="","",IFERROR(VLOOKUP(B367,المشاريع!$A:$B,2,FALSE),"⚠️ المشروع غير موجود"))</f>
        <v/>
      </c>
      <c r="J367" t="str">
        <f t="shared" si="15"/>
        <v/>
      </c>
      <c r="O367" t="str">
        <f>IF(A367="","", SUMIFS(التحصيلات!$E:$E, التحصيلات!$I:$I, A367))</f>
        <v/>
      </c>
      <c r="P367" t="str">
        <f t="shared" si="16"/>
        <v/>
      </c>
      <c r="S367" t="str">
        <f>IF(A367="","", SUMIFS(جدول [2]الأقساط!$E:$E, جدول [2]الأقساط!$B:$B, A367))</f>
        <v/>
      </c>
      <c r="T367" t="str">
        <f t="shared" si="17"/>
        <v/>
      </c>
    </row>
    <row r="368" spans="3:20" x14ac:dyDescent="0.25">
      <c r="C368" t="str">
        <f>IF(B368="","",IFERROR(VLOOKUP(B368,المشاريع!$A:$B,2,FALSE),"⚠️ المشروع غير موجود"))</f>
        <v/>
      </c>
      <c r="J368" t="str">
        <f t="shared" si="15"/>
        <v/>
      </c>
      <c r="O368" t="str">
        <f>IF(A368="","", SUMIFS(التحصيلات!$E:$E, التحصيلات!$I:$I, A368))</f>
        <v/>
      </c>
      <c r="P368" t="str">
        <f t="shared" si="16"/>
        <v/>
      </c>
      <c r="S368" t="str">
        <f>IF(A368="","", SUMIFS(جدول [2]الأقساط!$E:$E, جدول [2]الأقساط!$B:$B, A368))</f>
        <v/>
      </c>
      <c r="T368" t="str">
        <f t="shared" si="17"/>
        <v/>
      </c>
    </row>
    <row r="369" spans="3:20" x14ac:dyDescent="0.25">
      <c r="C369" t="str">
        <f>IF(B369="","",IFERROR(VLOOKUP(B369,المشاريع!$A:$B,2,FALSE),"⚠️ المشروع غير موجود"))</f>
        <v/>
      </c>
      <c r="J369" t="str">
        <f t="shared" si="15"/>
        <v/>
      </c>
      <c r="O369" t="str">
        <f>IF(A369="","", SUMIFS(التحصيلات!$E:$E, التحصيلات!$I:$I, A369))</f>
        <v/>
      </c>
      <c r="P369" t="str">
        <f t="shared" si="16"/>
        <v/>
      </c>
      <c r="S369" t="str">
        <f>IF(A369="","", SUMIFS(جدول [2]الأقساط!$E:$E, جدول [2]الأقساط!$B:$B, A369))</f>
        <v/>
      </c>
      <c r="T369" t="str">
        <f t="shared" si="17"/>
        <v/>
      </c>
    </row>
    <row r="370" spans="3:20" x14ac:dyDescent="0.25">
      <c r="C370" t="str">
        <f>IF(B370="","",IFERROR(VLOOKUP(B370,المشاريع!$A:$B,2,FALSE),"⚠️ المشروع غير موجود"))</f>
        <v/>
      </c>
      <c r="J370" t="str">
        <f t="shared" si="15"/>
        <v/>
      </c>
      <c r="O370" t="str">
        <f>IF(A370="","", SUMIFS(التحصيلات!$E:$E, التحصيلات!$I:$I, A370))</f>
        <v/>
      </c>
      <c r="P370" t="str">
        <f t="shared" si="16"/>
        <v/>
      </c>
      <c r="S370" t="str">
        <f>IF(A370="","", SUMIFS(جدول [2]الأقساط!$E:$E, جدول [2]الأقساط!$B:$B, A370))</f>
        <v/>
      </c>
      <c r="T370" t="str">
        <f t="shared" si="17"/>
        <v/>
      </c>
    </row>
    <row r="371" spans="3:20" x14ac:dyDescent="0.25">
      <c r="C371" t="str">
        <f>IF(B371="","",IFERROR(VLOOKUP(B371,المشاريع!$A:$B,2,FALSE),"⚠️ المشروع غير موجود"))</f>
        <v/>
      </c>
      <c r="J371" t="str">
        <f t="shared" si="15"/>
        <v/>
      </c>
      <c r="O371" t="str">
        <f>IF(A371="","", SUMIFS(التحصيلات!$E:$E, التحصيلات!$I:$I, A371))</f>
        <v/>
      </c>
      <c r="P371" t="str">
        <f t="shared" si="16"/>
        <v/>
      </c>
      <c r="S371" t="str">
        <f>IF(A371="","", SUMIFS(جدول [2]الأقساط!$E:$E, جدول [2]الأقساط!$B:$B, A371))</f>
        <v/>
      </c>
      <c r="T371" t="str">
        <f t="shared" si="17"/>
        <v/>
      </c>
    </row>
    <row r="372" spans="3:20" x14ac:dyDescent="0.25">
      <c r="C372" t="str">
        <f>IF(B372="","",IFERROR(VLOOKUP(B372,المشاريع!$A:$B,2,FALSE),"⚠️ المشروع غير موجود"))</f>
        <v/>
      </c>
      <c r="J372" t="str">
        <f t="shared" si="15"/>
        <v/>
      </c>
      <c r="O372" t="str">
        <f>IF(A372="","", SUMIFS(التحصيلات!$E:$E, التحصيلات!$I:$I, A372))</f>
        <v/>
      </c>
      <c r="P372" t="str">
        <f t="shared" si="16"/>
        <v/>
      </c>
      <c r="S372" t="str">
        <f>IF(A372="","", SUMIFS(جدول [2]الأقساط!$E:$E, جدول [2]الأقساط!$B:$B, A372))</f>
        <v/>
      </c>
      <c r="T372" t="str">
        <f t="shared" si="17"/>
        <v/>
      </c>
    </row>
    <row r="373" spans="3:20" x14ac:dyDescent="0.25">
      <c r="C373" t="str">
        <f>IF(B373="","",IFERROR(VLOOKUP(B373,المشاريع!$A:$B,2,FALSE),"⚠️ المشروع غير موجود"))</f>
        <v/>
      </c>
      <c r="J373" t="str">
        <f t="shared" si="15"/>
        <v/>
      </c>
      <c r="O373" t="str">
        <f>IF(A373="","", SUMIFS(التحصيلات!$E:$E, التحصيلات!$I:$I, A373))</f>
        <v/>
      </c>
      <c r="P373" t="str">
        <f t="shared" si="16"/>
        <v/>
      </c>
      <c r="S373" t="str">
        <f>IF(A373="","", SUMIFS(جدول [2]الأقساط!$E:$E, جدول [2]الأقساط!$B:$B, A373))</f>
        <v/>
      </c>
      <c r="T373" t="str">
        <f t="shared" si="17"/>
        <v/>
      </c>
    </row>
    <row r="374" spans="3:20" x14ac:dyDescent="0.25">
      <c r="C374" t="str">
        <f>IF(B374="","",IFERROR(VLOOKUP(B374,المشاريع!$A:$B,2,FALSE),"⚠️ المشروع غير موجود"))</f>
        <v/>
      </c>
      <c r="J374" t="str">
        <f t="shared" si="15"/>
        <v/>
      </c>
      <c r="O374" t="str">
        <f>IF(A374="","", SUMIFS(التحصيلات!$E:$E, التحصيلات!$I:$I, A374))</f>
        <v/>
      </c>
      <c r="P374" t="str">
        <f t="shared" si="16"/>
        <v/>
      </c>
      <c r="S374" t="str">
        <f>IF(A374="","", SUMIFS(جدول [2]الأقساط!$E:$E, جدول [2]الأقساط!$B:$B, A374))</f>
        <v/>
      </c>
      <c r="T374" t="str">
        <f t="shared" si="17"/>
        <v/>
      </c>
    </row>
    <row r="375" spans="3:20" x14ac:dyDescent="0.25">
      <c r="C375" t="str">
        <f>IF(B375="","",IFERROR(VLOOKUP(B375,المشاريع!$A:$B,2,FALSE),"⚠️ المشروع غير موجود"))</f>
        <v/>
      </c>
      <c r="J375" t="str">
        <f t="shared" si="15"/>
        <v/>
      </c>
      <c r="O375" t="str">
        <f>IF(A375="","", SUMIFS(التحصيلات!$E:$E, التحصيلات!$I:$I, A375))</f>
        <v/>
      </c>
      <c r="P375" t="str">
        <f t="shared" si="16"/>
        <v/>
      </c>
      <c r="S375" t="str">
        <f>IF(A375="","", SUMIFS(جدول [2]الأقساط!$E:$E, جدول [2]الأقساط!$B:$B, A375))</f>
        <v/>
      </c>
      <c r="T375" t="str">
        <f t="shared" si="17"/>
        <v/>
      </c>
    </row>
    <row r="376" spans="3:20" x14ac:dyDescent="0.25">
      <c r="C376" t="str">
        <f>IF(B376="","",IFERROR(VLOOKUP(B376,المشاريع!$A:$B,2,FALSE),"⚠️ المشروع غير موجود"))</f>
        <v/>
      </c>
      <c r="J376" t="str">
        <f t="shared" si="15"/>
        <v/>
      </c>
      <c r="O376" t="str">
        <f>IF(A376="","", SUMIFS(التحصيلات!$E:$E, التحصيلات!$I:$I, A376))</f>
        <v/>
      </c>
      <c r="P376" t="str">
        <f t="shared" si="16"/>
        <v/>
      </c>
      <c r="S376" t="str">
        <f>IF(A376="","", SUMIFS(جدول [2]الأقساط!$E:$E, جدول [2]الأقساط!$B:$B, A376))</f>
        <v/>
      </c>
      <c r="T376" t="str">
        <f t="shared" si="17"/>
        <v/>
      </c>
    </row>
    <row r="377" spans="3:20" x14ac:dyDescent="0.25">
      <c r="C377" t="str">
        <f>IF(B377="","",IFERROR(VLOOKUP(B377,المشاريع!$A:$B,2,FALSE),"⚠️ المشروع غير موجود"))</f>
        <v/>
      </c>
      <c r="J377" t="str">
        <f t="shared" si="15"/>
        <v/>
      </c>
      <c r="O377" t="str">
        <f>IF(A377="","", SUMIFS(التحصيلات!$E:$E, التحصيلات!$I:$I, A377))</f>
        <v/>
      </c>
      <c r="P377" t="str">
        <f t="shared" si="16"/>
        <v/>
      </c>
      <c r="S377" t="str">
        <f>IF(A377="","", SUMIFS(جدول [2]الأقساط!$E:$E, جدول [2]الأقساط!$B:$B, A377))</f>
        <v/>
      </c>
      <c r="T377" t="str">
        <f t="shared" si="17"/>
        <v/>
      </c>
    </row>
    <row r="378" spans="3:20" x14ac:dyDescent="0.25">
      <c r="C378" t="str">
        <f>IF(B378="","",IFERROR(VLOOKUP(B378,المشاريع!$A:$B,2,FALSE),"⚠️ المشروع غير موجود"))</f>
        <v/>
      </c>
      <c r="J378" t="str">
        <f t="shared" si="15"/>
        <v/>
      </c>
      <c r="O378" t="str">
        <f>IF(A378="","", SUMIFS(التحصيلات!$E:$E, التحصيلات!$I:$I, A378))</f>
        <v/>
      </c>
      <c r="P378" t="str">
        <f t="shared" si="16"/>
        <v/>
      </c>
      <c r="S378" t="str">
        <f>IF(A378="","", SUMIFS(جدول [2]الأقساط!$E:$E, جدول [2]الأقساط!$B:$B, A378))</f>
        <v/>
      </c>
      <c r="T378" t="str">
        <f t="shared" si="17"/>
        <v/>
      </c>
    </row>
    <row r="379" spans="3:20" x14ac:dyDescent="0.25">
      <c r="C379" t="str">
        <f>IF(B379="","",IFERROR(VLOOKUP(B379,المشاريع!$A:$B,2,FALSE),"⚠️ المشروع غير موجود"))</f>
        <v/>
      </c>
      <c r="J379" t="str">
        <f t="shared" si="15"/>
        <v/>
      </c>
      <c r="O379" t="str">
        <f>IF(A379="","", SUMIFS(التحصيلات!$E:$E, التحصيلات!$I:$I, A379))</f>
        <v/>
      </c>
      <c r="P379" t="str">
        <f t="shared" si="16"/>
        <v/>
      </c>
      <c r="S379" t="str">
        <f>IF(A379="","", SUMIFS(جدول [2]الأقساط!$E:$E, جدول [2]الأقساط!$B:$B, A379))</f>
        <v/>
      </c>
      <c r="T379" t="str">
        <f t="shared" si="17"/>
        <v/>
      </c>
    </row>
    <row r="380" spans="3:20" x14ac:dyDescent="0.25">
      <c r="C380" t="str">
        <f>IF(B380="","",IFERROR(VLOOKUP(B380,المشاريع!$A:$B,2,FALSE),"⚠️ المشروع غير موجود"))</f>
        <v/>
      </c>
      <c r="J380" t="str">
        <f t="shared" si="15"/>
        <v/>
      </c>
      <c r="O380" t="str">
        <f>IF(A380="","", SUMIFS(التحصيلات!$E:$E, التحصيلات!$I:$I, A380))</f>
        <v/>
      </c>
      <c r="P380" t="str">
        <f t="shared" si="16"/>
        <v/>
      </c>
      <c r="S380" t="str">
        <f>IF(A380="","", SUMIFS(جدول [2]الأقساط!$E:$E, جدول [2]الأقساط!$B:$B, A380))</f>
        <v/>
      </c>
      <c r="T380" t="str">
        <f t="shared" si="17"/>
        <v/>
      </c>
    </row>
    <row r="381" spans="3:20" x14ac:dyDescent="0.25">
      <c r="C381" t="str">
        <f>IF(B381="","",IFERROR(VLOOKUP(B381,المشاريع!$A:$B,2,FALSE),"⚠️ المشروع غير موجود"))</f>
        <v/>
      </c>
      <c r="J381" t="str">
        <f t="shared" si="15"/>
        <v/>
      </c>
      <c r="O381" t="str">
        <f>IF(A381="","", SUMIFS(التحصيلات!$E:$E, التحصيلات!$I:$I, A381))</f>
        <v/>
      </c>
      <c r="P381" t="str">
        <f t="shared" si="16"/>
        <v/>
      </c>
      <c r="S381" t="str">
        <f>IF(A381="","", SUMIFS(جدول [2]الأقساط!$E:$E, جدول [2]الأقساط!$B:$B, A381))</f>
        <v/>
      </c>
      <c r="T381" t="str">
        <f t="shared" si="17"/>
        <v/>
      </c>
    </row>
    <row r="382" spans="3:20" x14ac:dyDescent="0.25">
      <c r="C382" t="str">
        <f>IF(B382="","",IFERROR(VLOOKUP(B382,المشاريع!$A:$B,2,FALSE),"⚠️ المشروع غير موجود"))</f>
        <v/>
      </c>
      <c r="J382" t="str">
        <f t="shared" si="15"/>
        <v/>
      </c>
      <c r="O382" t="str">
        <f>IF(A382="","", SUMIFS(التحصيلات!$E:$E, التحصيلات!$I:$I, A382))</f>
        <v/>
      </c>
      <c r="P382" t="str">
        <f t="shared" si="16"/>
        <v/>
      </c>
      <c r="S382" t="str">
        <f>IF(A382="","", SUMIFS(جدول [2]الأقساط!$E:$E, جدول [2]الأقساط!$B:$B, A382))</f>
        <v/>
      </c>
      <c r="T382" t="str">
        <f t="shared" si="17"/>
        <v/>
      </c>
    </row>
    <row r="383" spans="3:20" x14ac:dyDescent="0.25">
      <c r="C383" t="str">
        <f>IF(B383="","",IFERROR(VLOOKUP(B383,المشاريع!$A:$B,2,FALSE),"⚠️ المشروع غير موجود"))</f>
        <v/>
      </c>
      <c r="J383" t="str">
        <f t="shared" si="15"/>
        <v/>
      </c>
      <c r="O383" t="str">
        <f>IF(A383="","", SUMIFS(التحصيلات!$E:$E, التحصيلات!$I:$I, A383))</f>
        <v/>
      </c>
      <c r="P383" t="str">
        <f t="shared" si="16"/>
        <v/>
      </c>
      <c r="S383" t="str">
        <f>IF(A383="","", SUMIFS(جدول [2]الأقساط!$E:$E, جدول [2]الأقساط!$B:$B, A383))</f>
        <v/>
      </c>
      <c r="T383" t="str">
        <f t="shared" si="17"/>
        <v/>
      </c>
    </row>
    <row r="384" spans="3:20" x14ac:dyDescent="0.25">
      <c r="C384" t="str">
        <f>IF(B384="","",IFERROR(VLOOKUP(B384,المشاريع!$A:$B,2,FALSE),"⚠️ المشروع غير موجود"))</f>
        <v/>
      </c>
      <c r="J384" t="str">
        <f t="shared" si="15"/>
        <v/>
      </c>
      <c r="O384" t="str">
        <f>IF(A384="","", SUMIFS(التحصيلات!$E:$E, التحصيلات!$I:$I, A384))</f>
        <v/>
      </c>
      <c r="P384" t="str">
        <f t="shared" si="16"/>
        <v/>
      </c>
      <c r="S384" t="str">
        <f>IF(A384="","", SUMIFS(جدول [2]الأقساط!$E:$E, جدول [2]الأقساط!$B:$B, A384))</f>
        <v/>
      </c>
      <c r="T384" t="str">
        <f t="shared" si="17"/>
        <v/>
      </c>
    </row>
    <row r="385" spans="3:20" x14ac:dyDescent="0.25">
      <c r="C385" t="str">
        <f>IF(B385="","",IFERROR(VLOOKUP(B385,المشاريع!$A:$B,2,FALSE),"⚠️ المشروع غير موجود"))</f>
        <v/>
      </c>
      <c r="J385" t="str">
        <f t="shared" si="15"/>
        <v/>
      </c>
      <c r="O385" t="str">
        <f>IF(A385="","", SUMIFS(التحصيلات!$E:$E, التحصيلات!$I:$I, A385))</f>
        <v/>
      </c>
      <c r="P385" t="str">
        <f t="shared" si="16"/>
        <v/>
      </c>
      <c r="S385" t="str">
        <f>IF(A385="","", SUMIFS(جدول [2]الأقساط!$E:$E, جدول [2]الأقساط!$B:$B, A385))</f>
        <v/>
      </c>
      <c r="T385" t="str">
        <f t="shared" si="17"/>
        <v/>
      </c>
    </row>
    <row r="386" spans="3:20" x14ac:dyDescent="0.25">
      <c r="C386" t="str">
        <f>IF(B386="","",IFERROR(VLOOKUP(B386,المشاريع!$A:$B,2,FALSE),"⚠️ المشروع غير موجود"))</f>
        <v/>
      </c>
      <c r="J386" t="str">
        <f t="shared" si="15"/>
        <v/>
      </c>
      <c r="O386" t="str">
        <f>IF(A386="","", SUMIFS(التحصيلات!$E:$E, التحصيلات!$I:$I, A386))</f>
        <v/>
      </c>
      <c r="P386" t="str">
        <f t="shared" si="16"/>
        <v/>
      </c>
      <c r="S386" t="str">
        <f>IF(A386="","", SUMIFS(جدول [2]الأقساط!$E:$E, جدول [2]الأقساط!$B:$B, A386))</f>
        <v/>
      </c>
      <c r="T386" t="str">
        <f t="shared" si="17"/>
        <v/>
      </c>
    </row>
    <row r="387" spans="3:20" x14ac:dyDescent="0.25">
      <c r="C387" t="str">
        <f>IF(B387="","",IFERROR(VLOOKUP(B387,المشاريع!$A:$B,2,FALSE),"⚠️ المشروع غير موجود"))</f>
        <v/>
      </c>
      <c r="J387" t="str">
        <f t="shared" ref="J387:J450" si="18">IF(G387="","", G387 - IF(I387="",0,I387))</f>
        <v/>
      </c>
      <c r="O387" t="str">
        <f>IF(A387="","", SUMIFS(التحصيلات!$E:$E, التحصيلات!$I:$I, A387))</f>
        <v/>
      </c>
      <c r="P387" t="str">
        <f t="shared" ref="P387:P450" si="19">IF(G387="","", G387 - O387)</f>
        <v/>
      </c>
      <c r="S387" t="str">
        <f>IF(A387="","", SUMIFS(جدول [2]الأقساط!$E:$E, جدول [2]الأقساط!$B:$B, A387))</f>
        <v/>
      </c>
      <c r="T387" t="str">
        <f t="shared" ref="T387:T450" si="20">IF(A387="","", IF(OR(H387="تقسيط", H387="كاش + تقسيط"), IF(ROUND(ABS(S387-J387),2)&gt;0, "⚠️ جدول الأقساط غير متطابق", "سليم"), "سليم"))</f>
        <v/>
      </c>
    </row>
    <row r="388" spans="3:20" x14ac:dyDescent="0.25">
      <c r="C388" t="str">
        <f>IF(B388="","",IFERROR(VLOOKUP(B388,المشاريع!$A:$B,2,FALSE),"⚠️ المشروع غير موجود"))</f>
        <v/>
      </c>
      <c r="J388" t="str">
        <f t="shared" si="18"/>
        <v/>
      </c>
      <c r="O388" t="str">
        <f>IF(A388="","", SUMIFS(التحصيلات!$E:$E, التحصيلات!$I:$I, A388))</f>
        <v/>
      </c>
      <c r="P388" t="str">
        <f t="shared" si="19"/>
        <v/>
      </c>
      <c r="S388" t="str">
        <f>IF(A388="","", SUMIFS(جدول [2]الأقساط!$E:$E, جدول [2]الأقساط!$B:$B, A388))</f>
        <v/>
      </c>
      <c r="T388" t="str">
        <f t="shared" si="20"/>
        <v/>
      </c>
    </row>
    <row r="389" spans="3:20" x14ac:dyDescent="0.25">
      <c r="C389" t="str">
        <f>IF(B389="","",IFERROR(VLOOKUP(B389,المشاريع!$A:$B,2,FALSE),"⚠️ المشروع غير موجود"))</f>
        <v/>
      </c>
      <c r="J389" t="str">
        <f t="shared" si="18"/>
        <v/>
      </c>
      <c r="O389" t="str">
        <f>IF(A389="","", SUMIFS(التحصيلات!$E:$E, التحصيلات!$I:$I, A389))</f>
        <v/>
      </c>
      <c r="P389" t="str">
        <f t="shared" si="19"/>
        <v/>
      </c>
      <c r="S389" t="str">
        <f>IF(A389="","", SUMIFS(جدول [2]الأقساط!$E:$E, جدول [2]الأقساط!$B:$B, A389))</f>
        <v/>
      </c>
      <c r="T389" t="str">
        <f t="shared" si="20"/>
        <v/>
      </c>
    </row>
    <row r="390" spans="3:20" x14ac:dyDescent="0.25">
      <c r="C390" t="str">
        <f>IF(B390="","",IFERROR(VLOOKUP(B390,المشاريع!$A:$B,2,FALSE),"⚠️ المشروع غير موجود"))</f>
        <v/>
      </c>
      <c r="J390" t="str">
        <f t="shared" si="18"/>
        <v/>
      </c>
      <c r="O390" t="str">
        <f>IF(A390="","", SUMIFS(التحصيلات!$E:$E, التحصيلات!$I:$I, A390))</f>
        <v/>
      </c>
      <c r="P390" t="str">
        <f t="shared" si="19"/>
        <v/>
      </c>
      <c r="S390" t="str">
        <f>IF(A390="","", SUMIFS(جدول [2]الأقساط!$E:$E, جدول [2]الأقساط!$B:$B, A390))</f>
        <v/>
      </c>
      <c r="T390" t="str">
        <f t="shared" si="20"/>
        <v/>
      </c>
    </row>
    <row r="391" spans="3:20" x14ac:dyDescent="0.25">
      <c r="C391" t="str">
        <f>IF(B391="","",IFERROR(VLOOKUP(B391,المشاريع!$A:$B,2,FALSE),"⚠️ المشروع غير موجود"))</f>
        <v/>
      </c>
      <c r="J391" t="str">
        <f t="shared" si="18"/>
        <v/>
      </c>
      <c r="O391" t="str">
        <f>IF(A391="","", SUMIFS(التحصيلات!$E:$E, التحصيلات!$I:$I, A391))</f>
        <v/>
      </c>
      <c r="P391" t="str">
        <f t="shared" si="19"/>
        <v/>
      </c>
      <c r="S391" t="str">
        <f>IF(A391="","", SUMIFS(جدول [2]الأقساط!$E:$E, جدول [2]الأقساط!$B:$B, A391))</f>
        <v/>
      </c>
      <c r="T391" t="str">
        <f t="shared" si="20"/>
        <v/>
      </c>
    </row>
    <row r="392" spans="3:20" x14ac:dyDescent="0.25">
      <c r="C392" t="str">
        <f>IF(B392="","",IFERROR(VLOOKUP(B392,المشاريع!$A:$B,2,FALSE),"⚠️ المشروع غير موجود"))</f>
        <v/>
      </c>
      <c r="J392" t="str">
        <f t="shared" si="18"/>
        <v/>
      </c>
      <c r="O392" t="str">
        <f>IF(A392="","", SUMIFS(التحصيلات!$E:$E, التحصيلات!$I:$I, A392))</f>
        <v/>
      </c>
      <c r="P392" t="str">
        <f t="shared" si="19"/>
        <v/>
      </c>
      <c r="S392" t="str">
        <f>IF(A392="","", SUMIFS(جدول [2]الأقساط!$E:$E, جدول [2]الأقساط!$B:$B, A392))</f>
        <v/>
      </c>
      <c r="T392" t="str">
        <f t="shared" si="20"/>
        <v/>
      </c>
    </row>
    <row r="393" spans="3:20" x14ac:dyDescent="0.25">
      <c r="C393" t="str">
        <f>IF(B393="","",IFERROR(VLOOKUP(B393,المشاريع!$A:$B,2,FALSE),"⚠️ المشروع غير موجود"))</f>
        <v/>
      </c>
      <c r="J393" t="str">
        <f t="shared" si="18"/>
        <v/>
      </c>
      <c r="O393" t="str">
        <f>IF(A393="","", SUMIFS(التحصيلات!$E:$E, التحصيلات!$I:$I, A393))</f>
        <v/>
      </c>
      <c r="P393" t="str">
        <f t="shared" si="19"/>
        <v/>
      </c>
      <c r="S393" t="str">
        <f>IF(A393="","", SUMIFS(جدول [2]الأقساط!$E:$E, جدول [2]الأقساط!$B:$B, A393))</f>
        <v/>
      </c>
      <c r="T393" t="str">
        <f t="shared" si="20"/>
        <v/>
      </c>
    </row>
    <row r="394" spans="3:20" x14ac:dyDescent="0.25">
      <c r="C394" t="str">
        <f>IF(B394="","",IFERROR(VLOOKUP(B394,المشاريع!$A:$B,2,FALSE),"⚠️ المشروع غير موجود"))</f>
        <v/>
      </c>
      <c r="J394" t="str">
        <f t="shared" si="18"/>
        <v/>
      </c>
      <c r="O394" t="str">
        <f>IF(A394="","", SUMIFS(التحصيلات!$E:$E, التحصيلات!$I:$I, A394))</f>
        <v/>
      </c>
      <c r="P394" t="str">
        <f t="shared" si="19"/>
        <v/>
      </c>
      <c r="S394" t="str">
        <f>IF(A394="","", SUMIFS(جدول [2]الأقساط!$E:$E, جدول [2]الأقساط!$B:$B, A394))</f>
        <v/>
      </c>
      <c r="T394" t="str">
        <f t="shared" si="20"/>
        <v/>
      </c>
    </row>
    <row r="395" spans="3:20" x14ac:dyDescent="0.25">
      <c r="C395" t="str">
        <f>IF(B395="","",IFERROR(VLOOKUP(B395,المشاريع!$A:$B,2,FALSE),"⚠️ المشروع غير موجود"))</f>
        <v/>
      </c>
      <c r="J395" t="str">
        <f t="shared" si="18"/>
        <v/>
      </c>
      <c r="O395" t="str">
        <f>IF(A395="","", SUMIFS(التحصيلات!$E:$E, التحصيلات!$I:$I, A395))</f>
        <v/>
      </c>
      <c r="P395" t="str">
        <f t="shared" si="19"/>
        <v/>
      </c>
      <c r="S395" t="str">
        <f>IF(A395="","", SUMIFS(جدول [2]الأقساط!$E:$E, جدول [2]الأقساط!$B:$B, A395))</f>
        <v/>
      </c>
      <c r="T395" t="str">
        <f t="shared" si="20"/>
        <v/>
      </c>
    </row>
    <row r="396" spans="3:20" x14ac:dyDescent="0.25">
      <c r="C396" t="str">
        <f>IF(B396="","",IFERROR(VLOOKUP(B396,المشاريع!$A:$B,2,FALSE),"⚠️ المشروع غير موجود"))</f>
        <v/>
      </c>
      <c r="J396" t="str">
        <f t="shared" si="18"/>
        <v/>
      </c>
      <c r="O396" t="str">
        <f>IF(A396="","", SUMIFS(التحصيلات!$E:$E, التحصيلات!$I:$I, A396))</f>
        <v/>
      </c>
      <c r="P396" t="str">
        <f t="shared" si="19"/>
        <v/>
      </c>
      <c r="S396" t="str">
        <f>IF(A396="","", SUMIFS(جدول [2]الأقساط!$E:$E, جدول [2]الأقساط!$B:$B, A396))</f>
        <v/>
      </c>
      <c r="T396" t="str">
        <f t="shared" si="20"/>
        <v/>
      </c>
    </row>
    <row r="397" spans="3:20" x14ac:dyDescent="0.25">
      <c r="C397" t="str">
        <f>IF(B397="","",IFERROR(VLOOKUP(B397,المشاريع!$A:$B,2,FALSE),"⚠️ المشروع غير موجود"))</f>
        <v/>
      </c>
      <c r="J397" t="str">
        <f t="shared" si="18"/>
        <v/>
      </c>
      <c r="O397" t="str">
        <f>IF(A397="","", SUMIFS(التحصيلات!$E:$E, التحصيلات!$I:$I, A397))</f>
        <v/>
      </c>
      <c r="P397" t="str">
        <f t="shared" si="19"/>
        <v/>
      </c>
      <c r="S397" t="str">
        <f>IF(A397="","", SUMIFS(جدول [2]الأقساط!$E:$E, جدول [2]الأقساط!$B:$B, A397))</f>
        <v/>
      </c>
      <c r="T397" t="str">
        <f t="shared" si="20"/>
        <v/>
      </c>
    </row>
    <row r="398" spans="3:20" x14ac:dyDescent="0.25">
      <c r="C398" t="str">
        <f>IF(B398="","",IFERROR(VLOOKUP(B398,المشاريع!$A:$B,2,FALSE),"⚠️ المشروع غير موجود"))</f>
        <v/>
      </c>
      <c r="J398" t="str">
        <f t="shared" si="18"/>
        <v/>
      </c>
      <c r="O398" t="str">
        <f>IF(A398="","", SUMIFS(التحصيلات!$E:$E, التحصيلات!$I:$I, A398))</f>
        <v/>
      </c>
      <c r="P398" t="str">
        <f t="shared" si="19"/>
        <v/>
      </c>
      <c r="S398" t="str">
        <f>IF(A398="","", SUMIFS(جدول [2]الأقساط!$E:$E, جدول [2]الأقساط!$B:$B, A398))</f>
        <v/>
      </c>
      <c r="T398" t="str">
        <f t="shared" si="20"/>
        <v/>
      </c>
    </row>
    <row r="399" spans="3:20" x14ac:dyDescent="0.25">
      <c r="C399" t="str">
        <f>IF(B399="","",IFERROR(VLOOKUP(B399,المشاريع!$A:$B,2,FALSE),"⚠️ المشروع غير موجود"))</f>
        <v/>
      </c>
      <c r="J399" t="str">
        <f t="shared" si="18"/>
        <v/>
      </c>
      <c r="O399" t="str">
        <f>IF(A399="","", SUMIFS(التحصيلات!$E:$E, التحصيلات!$I:$I, A399))</f>
        <v/>
      </c>
      <c r="P399" t="str">
        <f t="shared" si="19"/>
        <v/>
      </c>
      <c r="S399" t="str">
        <f>IF(A399="","", SUMIFS(جدول [2]الأقساط!$E:$E, جدول [2]الأقساط!$B:$B, A399))</f>
        <v/>
      </c>
      <c r="T399" t="str">
        <f t="shared" si="20"/>
        <v/>
      </c>
    </row>
    <row r="400" spans="3:20" x14ac:dyDescent="0.25">
      <c r="C400" t="str">
        <f>IF(B400="","",IFERROR(VLOOKUP(B400,المشاريع!$A:$B,2,FALSE),"⚠️ المشروع غير موجود"))</f>
        <v/>
      </c>
      <c r="J400" t="str">
        <f t="shared" si="18"/>
        <v/>
      </c>
      <c r="O400" t="str">
        <f>IF(A400="","", SUMIFS(التحصيلات!$E:$E, التحصيلات!$I:$I, A400))</f>
        <v/>
      </c>
      <c r="P400" t="str">
        <f t="shared" si="19"/>
        <v/>
      </c>
      <c r="S400" t="str">
        <f>IF(A400="","", SUMIFS(جدول [2]الأقساط!$E:$E, جدول [2]الأقساط!$B:$B, A400))</f>
        <v/>
      </c>
      <c r="T400" t="str">
        <f t="shared" si="20"/>
        <v/>
      </c>
    </row>
    <row r="401" spans="3:20" x14ac:dyDescent="0.25">
      <c r="C401" t="str">
        <f>IF(B401="","",IFERROR(VLOOKUP(B401,المشاريع!$A:$B,2,FALSE),"⚠️ المشروع غير موجود"))</f>
        <v/>
      </c>
      <c r="J401" t="str">
        <f t="shared" si="18"/>
        <v/>
      </c>
      <c r="O401" t="str">
        <f>IF(A401="","", SUMIFS(التحصيلات!$E:$E, التحصيلات!$I:$I, A401))</f>
        <v/>
      </c>
      <c r="P401" t="str">
        <f t="shared" si="19"/>
        <v/>
      </c>
      <c r="S401" t="str">
        <f>IF(A401="","", SUMIFS(جدول [2]الأقساط!$E:$E, جدول [2]الأقساط!$B:$B, A401))</f>
        <v/>
      </c>
      <c r="T401" t="str">
        <f t="shared" si="20"/>
        <v/>
      </c>
    </row>
    <row r="402" spans="3:20" x14ac:dyDescent="0.25">
      <c r="C402" t="str">
        <f>IF(B402="","",IFERROR(VLOOKUP(B402,المشاريع!$A:$B,2,FALSE),"⚠️ المشروع غير موجود"))</f>
        <v/>
      </c>
      <c r="J402" t="str">
        <f t="shared" si="18"/>
        <v/>
      </c>
      <c r="O402" t="str">
        <f>IF(A402="","", SUMIFS(التحصيلات!$E:$E, التحصيلات!$I:$I, A402))</f>
        <v/>
      </c>
      <c r="P402" t="str">
        <f t="shared" si="19"/>
        <v/>
      </c>
      <c r="S402" t="str">
        <f>IF(A402="","", SUMIFS(جدول [2]الأقساط!$E:$E, جدول [2]الأقساط!$B:$B, A402))</f>
        <v/>
      </c>
      <c r="T402" t="str">
        <f t="shared" si="20"/>
        <v/>
      </c>
    </row>
    <row r="403" spans="3:20" x14ac:dyDescent="0.25">
      <c r="C403" t="str">
        <f>IF(B403="","",IFERROR(VLOOKUP(B403,المشاريع!$A:$B,2,FALSE),"⚠️ المشروع غير موجود"))</f>
        <v/>
      </c>
      <c r="J403" t="str">
        <f t="shared" si="18"/>
        <v/>
      </c>
      <c r="O403" t="str">
        <f>IF(A403="","", SUMIFS(التحصيلات!$E:$E, التحصيلات!$I:$I, A403))</f>
        <v/>
      </c>
      <c r="P403" t="str">
        <f t="shared" si="19"/>
        <v/>
      </c>
      <c r="S403" t="str">
        <f>IF(A403="","", SUMIFS(جدول [2]الأقساط!$E:$E, جدول [2]الأقساط!$B:$B, A403))</f>
        <v/>
      </c>
      <c r="T403" t="str">
        <f t="shared" si="20"/>
        <v/>
      </c>
    </row>
    <row r="404" spans="3:20" x14ac:dyDescent="0.25">
      <c r="C404" t="str">
        <f>IF(B404="","",IFERROR(VLOOKUP(B404,المشاريع!$A:$B,2,FALSE),"⚠️ المشروع غير موجود"))</f>
        <v/>
      </c>
      <c r="J404" t="str">
        <f t="shared" si="18"/>
        <v/>
      </c>
      <c r="O404" t="str">
        <f>IF(A404="","", SUMIFS(التحصيلات!$E:$E, التحصيلات!$I:$I, A404))</f>
        <v/>
      </c>
      <c r="P404" t="str">
        <f t="shared" si="19"/>
        <v/>
      </c>
      <c r="S404" t="str">
        <f>IF(A404="","", SUMIFS(جدول [2]الأقساط!$E:$E, جدول [2]الأقساط!$B:$B, A404))</f>
        <v/>
      </c>
      <c r="T404" t="str">
        <f t="shared" si="20"/>
        <v/>
      </c>
    </row>
    <row r="405" spans="3:20" x14ac:dyDescent="0.25">
      <c r="C405" t="str">
        <f>IF(B405="","",IFERROR(VLOOKUP(B405,المشاريع!$A:$B,2,FALSE),"⚠️ المشروع غير موجود"))</f>
        <v/>
      </c>
      <c r="J405" t="str">
        <f t="shared" si="18"/>
        <v/>
      </c>
      <c r="O405" t="str">
        <f>IF(A405="","", SUMIFS(التحصيلات!$E:$E, التحصيلات!$I:$I, A405))</f>
        <v/>
      </c>
      <c r="P405" t="str">
        <f t="shared" si="19"/>
        <v/>
      </c>
      <c r="S405" t="str">
        <f>IF(A405="","", SUMIFS(جدول [2]الأقساط!$E:$E, جدول [2]الأقساط!$B:$B, A405))</f>
        <v/>
      </c>
      <c r="T405" t="str">
        <f t="shared" si="20"/>
        <v/>
      </c>
    </row>
    <row r="406" spans="3:20" x14ac:dyDescent="0.25">
      <c r="C406" t="str">
        <f>IF(B406="","",IFERROR(VLOOKUP(B406,المشاريع!$A:$B,2,FALSE),"⚠️ المشروع غير موجود"))</f>
        <v/>
      </c>
      <c r="J406" t="str">
        <f t="shared" si="18"/>
        <v/>
      </c>
      <c r="O406" t="str">
        <f>IF(A406="","", SUMIFS(التحصيلات!$E:$E, التحصيلات!$I:$I, A406))</f>
        <v/>
      </c>
      <c r="P406" t="str">
        <f t="shared" si="19"/>
        <v/>
      </c>
      <c r="S406" t="str">
        <f>IF(A406="","", SUMIFS(جدول [2]الأقساط!$E:$E, جدول [2]الأقساط!$B:$B, A406))</f>
        <v/>
      </c>
      <c r="T406" t="str">
        <f t="shared" si="20"/>
        <v/>
      </c>
    </row>
    <row r="407" spans="3:20" x14ac:dyDescent="0.25">
      <c r="C407" t="str">
        <f>IF(B407="","",IFERROR(VLOOKUP(B407,المشاريع!$A:$B,2,FALSE),"⚠️ المشروع غير موجود"))</f>
        <v/>
      </c>
      <c r="J407" t="str">
        <f t="shared" si="18"/>
        <v/>
      </c>
      <c r="O407" t="str">
        <f>IF(A407="","", SUMIFS(التحصيلات!$E:$E, التحصيلات!$I:$I, A407))</f>
        <v/>
      </c>
      <c r="P407" t="str">
        <f t="shared" si="19"/>
        <v/>
      </c>
      <c r="S407" t="str">
        <f>IF(A407="","", SUMIFS(جدول [2]الأقساط!$E:$E, جدول [2]الأقساط!$B:$B, A407))</f>
        <v/>
      </c>
      <c r="T407" t="str">
        <f t="shared" si="20"/>
        <v/>
      </c>
    </row>
    <row r="408" spans="3:20" x14ac:dyDescent="0.25">
      <c r="C408" t="str">
        <f>IF(B408="","",IFERROR(VLOOKUP(B408,المشاريع!$A:$B,2,FALSE),"⚠️ المشروع غير موجود"))</f>
        <v/>
      </c>
      <c r="J408" t="str">
        <f t="shared" si="18"/>
        <v/>
      </c>
      <c r="O408" t="str">
        <f>IF(A408="","", SUMIFS(التحصيلات!$E:$E, التحصيلات!$I:$I, A408))</f>
        <v/>
      </c>
      <c r="P408" t="str">
        <f t="shared" si="19"/>
        <v/>
      </c>
      <c r="S408" t="str">
        <f>IF(A408="","", SUMIFS(جدول [2]الأقساط!$E:$E, جدول [2]الأقساط!$B:$B, A408))</f>
        <v/>
      </c>
      <c r="T408" t="str">
        <f t="shared" si="20"/>
        <v/>
      </c>
    </row>
    <row r="409" spans="3:20" x14ac:dyDescent="0.25">
      <c r="C409" t="str">
        <f>IF(B409="","",IFERROR(VLOOKUP(B409,المشاريع!$A:$B,2,FALSE),"⚠️ المشروع غير موجود"))</f>
        <v/>
      </c>
      <c r="J409" t="str">
        <f t="shared" si="18"/>
        <v/>
      </c>
      <c r="O409" t="str">
        <f>IF(A409="","", SUMIFS(التحصيلات!$E:$E, التحصيلات!$I:$I, A409))</f>
        <v/>
      </c>
      <c r="P409" t="str">
        <f t="shared" si="19"/>
        <v/>
      </c>
      <c r="S409" t="str">
        <f>IF(A409="","", SUMIFS(جدول [2]الأقساط!$E:$E, جدول [2]الأقساط!$B:$B, A409))</f>
        <v/>
      </c>
      <c r="T409" t="str">
        <f t="shared" si="20"/>
        <v/>
      </c>
    </row>
    <row r="410" spans="3:20" x14ac:dyDescent="0.25">
      <c r="C410" t="str">
        <f>IF(B410="","",IFERROR(VLOOKUP(B410,المشاريع!$A:$B,2,FALSE),"⚠️ المشروع غير موجود"))</f>
        <v/>
      </c>
      <c r="J410" t="str">
        <f t="shared" si="18"/>
        <v/>
      </c>
      <c r="O410" t="str">
        <f>IF(A410="","", SUMIFS(التحصيلات!$E:$E, التحصيلات!$I:$I, A410))</f>
        <v/>
      </c>
      <c r="P410" t="str">
        <f t="shared" si="19"/>
        <v/>
      </c>
      <c r="S410" t="str">
        <f>IF(A410="","", SUMIFS(جدول [2]الأقساط!$E:$E, جدول [2]الأقساط!$B:$B, A410))</f>
        <v/>
      </c>
      <c r="T410" t="str">
        <f t="shared" si="20"/>
        <v/>
      </c>
    </row>
    <row r="411" spans="3:20" x14ac:dyDescent="0.25">
      <c r="C411" t="str">
        <f>IF(B411="","",IFERROR(VLOOKUP(B411,المشاريع!$A:$B,2,FALSE),"⚠️ المشروع غير موجود"))</f>
        <v/>
      </c>
      <c r="J411" t="str">
        <f t="shared" si="18"/>
        <v/>
      </c>
      <c r="O411" t="str">
        <f>IF(A411="","", SUMIFS(التحصيلات!$E:$E, التحصيلات!$I:$I, A411))</f>
        <v/>
      </c>
      <c r="P411" t="str">
        <f t="shared" si="19"/>
        <v/>
      </c>
      <c r="S411" t="str">
        <f>IF(A411="","", SUMIFS(جدول [2]الأقساط!$E:$E, جدول [2]الأقساط!$B:$B, A411))</f>
        <v/>
      </c>
      <c r="T411" t="str">
        <f t="shared" si="20"/>
        <v/>
      </c>
    </row>
    <row r="412" spans="3:20" x14ac:dyDescent="0.25">
      <c r="C412" t="str">
        <f>IF(B412="","",IFERROR(VLOOKUP(B412,المشاريع!$A:$B,2,FALSE),"⚠️ المشروع غير موجود"))</f>
        <v/>
      </c>
      <c r="J412" t="str">
        <f t="shared" si="18"/>
        <v/>
      </c>
      <c r="O412" t="str">
        <f>IF(A412="","", SUMIFS(التحصيلات!$E:$E, التحصيلات!$I:$I, A412))</f>
        <v/>
      </c>
      <c r="P412" t="str">
        <f t="shared" si="19"/>
        <v/>
      </c>
      <c r="S412" t="str">
        <f>IF(A412="","", SUMIFS(جدول [2]الأقساط!$E:$E, جدول [2]الأقساط!$B:$B, A412))</f>
        <v/>
      </c>
      <c r="T412" t="str">
        <f t="shared" si="20"/>
        <v/>
      </c>
    </row>
    <row r="413" spans="3:20" x14ac:dyDescent="0.25">
      <c r="C413" t="str">
        <f>IF(B413="","",IFERROR(VLOOKUP(B413,المشاريع!$A:$B,2,FALSE),"⚠️ المشروع غير موجود"))</f>
        <v/>
      </c>
      <c r="J413" t="str">
        <f t="shared" si="18"/>
        <v/>
      </c>
      <c r="O413" t="str">
        <f>IF(A413="","", SUMIFS(التحصيلات!$E:$E, التحصيلات!$I:$I, A413))</f>
        <v/>
      </c>
      <c r="P413" t="str">
        <f t="shared" si="19"/>
        <v/>
      </c>
      <c r="S413" t="str">
        <f>IF(A413="","", SUMIFS(جدول [2]الأقساط!$E:$E, جدول [2]الأقساط!$B:$B, A413))</f>
        <v/>
      </c>
      <c r="T413" t="str">
        <f t="shared" si="20"/>
        <v/>
      </c>
    </row>
    <row r="414" spans="3:20" x14ac:dyDescent="0.25">
      <c r="C414" t="str">
        <f>IF(B414="","",IFERROR(VLOOKUP(B414,المشاريع!$A:$B,2,FALSE),"⚠️ المشروع غير موجود"))</f>
        <v/>
      </c>
      <c r="J414" t="str">
        <f t="shared" si="18"/>
        <v/>
      </c>
      <c r="O414" t="str">
        <f>IF(A414="","", SUMIFS(التحصيلات!$E:$E, التحصيلات!$I:$I, A414))</f>
        <v/>
      </c>
      <c r="P414" t="str">
        <f t="shared" si="19"/>
        <v/>
      </c>
      <c r="S414" t="str">
        <f>IF(A414="","", SUMIFS(جدول [2]الأقساط!$E:$E, جدول [2]الأقساط!$B:$B, A414))</f>
        <v/>
      </c>
      <c r="T414" t="str">
        <f t="shared" si="20"/>
        <v/>
      </c>
    </row>
    <row r="415" spans="3:20" x14ac:dyDescent="0.25">
      <c r="C415" t="str">
        <f>IF(B415="","",IFERROR(VLOOKUP(B415,المشاريع!$A:$B,2,FALSE),"⚠️ المشروع غير موجود"))</f>
        <v/>
      </c>
      <c r="J415" t="str">
        <f t="shared" si="18"/>
        <v/>
      </c>
      <c r="O415" t="str">
        <f>IF(A415="","", SUMIFS(التحصيلات!$E:$E, التحصيلات!$I:$I, A415))</f>
        <v/>
      </c>
      <c r="P415" t="str">
        <f t="shared" si="19"/>
        <v/>
      </c>
      <c r="S415" t="str">
        <f>IF(A415="","", SUMIFS(جدول [2]الأقساط!$E:$E, جدول [2]الأقساط!$B:$B, A415))</f>
        <v/>
      </c>
      <c r="T415" t="str">
        <f t="shared" si="20"/>
        <v/>
      </c>
    </row>
    <row r="416" spans="3:20" x14ac:dyDescent="0.25">
      <c r="C416" t="str">
        <f>IF(B416="","",IFERROR(VLOOKUP(B416,المشاريع!$A:$B,2,FALSE),"⚠️ المشروع غير موجود"))</f>
        <v/>
      </c>
      <c r="J416" t="str">
        <f t="shared" si="18"/>
        <v/>
      </c>
      <c r="O416" t="str">
        <f>IF(A416="","", SUMIFS(التحصيلات!$E:$E, التحصيلات!$I:$I, A416))</f>
        <v/>
      </c>
      <c r="P416" t="str">
        <f t="shared" si="19"/>
        <v/>
      </c>
      <c r="S416" t="str">
        <f>IF(A416="","", SUMIFS(جدول [2]الأقساط!$E:$E, جدول [2]الأقساط!$B:$B, A416))</f>
        <v/>
      </c>
      <c r="T416" t="str">
        <f t="shared" si="20"/>
        <v/>
      </c>
    </row>
    <row r="417" spans="3:20" x14ac:dyDescent="0.25">
      <c r="C417" t="str">
        <f>IF(B417="","",IFERROR(VLOOKUP(B417,المشاريع!$A:$B,2,FALSE),"⚠️ المشروع غير موجود"))</f>
        <v/>
      </c>
      <c r="J417" t="str">
        <f t="shared" si="18"/>
        <v/>
      </c>
      <c r="O417" t="str">
        <f>IF(A417="","", SUMIFS(التحصيلات!$E:$E, التحصيلات!$I:$I, A417))</f>
        <v/>
      </c>
      <c r="P417" t="str">
        <f t="shared" si="19"/>
        <v/>
      </c>
      <c r="S417" t="str">
        <f>IF(A417="","", SUMIFS(جدول [2]الأقساط!$E:$E, جدول [2]الأقساط!$B:$B, A417))</f>
        <v/>
      </c>
      <c r="T417" t="str">
        <f t="shared" si="20"/>
        <v/>
      </c>
    </row>
    <row r="418" spans="3:20" x14ac:dyDescent="0.25">
      <c r="C418" t="str">
        <f>IF(B418="","",IFERROR(VLOOKUP(B418,المشاريع!$A:$B,2,FALSE),"⚠️ المشروع غير موجود"))</f>
        <v/>
      </c>
      <c r="J418" t="str">
        <f t="shared" si="18"/>
        <v/>
      </c>
      <c r="O418" t="str">
        <f>IF(A418="","", SUMIFS(التحصيلات!$E:$E, التحصيلات!$I:$I, A418))</f>
        <v/>
      </c>
      <c r="P418" t="str">
        <f t="shared" si="19"/>
        <v/>
      </c>
      <c r="S418" t="str">
        <f>IF(A418="","", SUMIFS(جدول [2]الأقساط!$E:$E, جدول [2]الأقساط!$B:$B, A418))</f>
        <v/>
      </c>
      <c r="T418" t="str">
        <f t="shared" si="20"/>
        <v/>
      </c>
    </row>
    <row r="419" spans="3:20" x14ac:dyDescent="0.25">
      <c r="C419" t="str">
        <f>IF(B419="","",IFERROR(VLOOKUP(B419,المشاريع!$A:$B,2,FALSE),"⚠️ المشروع غير موجود"))</f>
        <v/>
      </c>
      <c r="J419" t="str">
        <f t="shared" si="18"/>
        <v/>
      </c>
      <c r="O419" t="str">
        <f>IF(A419="","", SUMIFS(التحصيلات!$E:$E, التحصيلات!$I:$I, A419))</f>
        <v/>
      </c>
      <c r="P419" t="str">
        <f t="shared" si="19"/>
        <v/>
      </c>
      <c r="S419" t="str">
        <f>IF(A419="","", SUMIFS(جدول [2]الأقساط!$E:$E, جدول [2]الأقساط!$B:$B, A419))</f>
        <v/>
      </c>
      <c r="T419" t="str">
        <f t="shared" si="20"/>
        <v/>
      </c>
    </row>
    <row r="420" spans="3:20" x14ac:dyDescent="0.25">
      <c r="C420" t="str">
        <f>IF(B420="","",IFERROR(VLOOKUP(B420,المشاريع!$A:$B,2,FALSE),"⚠️ المشروع غير موجود"))</f>
        <v/>
      </c>
      <c r="J420" t="str">
        <f t="shared" si="18"/>
        <v/>
      </c>
      <c r="O420" t="str">
        <f>IF(A420="","", SUMIFS(التحصيلات!$E:$E, التحصيلات!$I:$I, A420))</f>
        <v/>
      </c>
      <c r="P420" t="str">
        <f t="shared" si="19"/>
        <v/>
      </c>
      <c r="S420" t="str">
        <f>IF(A420="","", SUMIFS(جدول [2]الأقساط!$E:$E, جدول [2]الأقساط!$B:$B, A420))</f>
        <v/>
      </c>
      <c r="T420" t="str">
        <f t="shared" si="20"/>
        <v/>
      </c>
    </row>
    <row r="421" spans="3:20" x14ac:dyDescent="0.25">
      <c r="C421" t="str">
        <f>IF(B421="","",IFERROR(VLOOKUP(B421,المشاريع!$A:$B,2,FALSE),"⚠️ المشروع غير موجود"))</f>
        <v/>
      </c>
      <c r="J421" t="str">
        <f t="shared" si="18"/>
        <v/>
      </c>
      <c r="O421" t="str">
        <f>IF(A421="","", SUMIFS(التحصيلات!$E:$E, التحصيلات!$I:$I, A421))</f>
        <v/>
      </c>
      <c r="P421" t="str">
        <f t="shared" si="19"/>
        <v/>
      </c>
      <c r="S421" t="str">
        <f>IF(A421="","", SUMIFS(جدول [2]الأقساط!$E:$E, جدول [2]الأقساط!$B:$B, A421))</f>
        <v/>
      </c>
      <c r="T421" t="str">
        <f t="shared" si="20"/>
        <v/>
      </c>
    </row>
    <row r="422" spans="3:20" x14ac:dyDescent="0.25">
      <c r="C422" t="str">
        <f>IF(B422="","",IFERROR(VLOOKUP(B422,المشاريع!$A:$B,2,FALSE),"⚠️ المشروع غير موجود"))</f>
        <v/>
      </c>
      <c r="J422" t="str">
        <f t="shared" si="18"/>
        <v/>
      </c>
      <c r="O422" t="str">
        <f>IF(A422="","", SUMIFS(التحصيلات!$E:$E, التحصيلات!$I:$I, A422))</f>
        <v/>
      </c>
      <c r="P422" t="str">
        <f t="shared" si="19"/>
        <v/>
      </c>
      <c r="S422" t="str">
        <f>IF(A422="","", SUMIFS(جدول [2]الأقساط!$E:$E, جدول [2]الأقساط!$B:$B, A422))</f>
        <v/>
      </c>
      <c r="T422" t="str">
        <f t="shared" si="20"/>
        <v/>
      </c>
    </row>
    <row r="423" spans="3:20" x14ac:dyDescent="0.25">
      <c r="C423" t="str">
        <f>IF(B423="","",IFERROR(VLOOKUP(B423,المشاريع!$A:$B,2,FALSE),"⚠️ المشروع غير موجود"))</f>
        <v/>
      </c>
      <c r="J423" t="str">
        <f t="shared" si="18"/>
        <v/>
      </c>
      <c r="O423" t="str">
        <f>IF(A423="","", SUMIFS(التحصيلات!$E:$E, التحصيلات!$I:$I, A423))</f>
        <v/>
      </c>
      <c r="P423" t="str">
        <f t="shared" si="19"/>
        <v/>
      </c>
      <c r="S423" t="str">
        <f>IF(A423="","", SUMIFS(جدول [2]الأقساط!$E:$E, جدول [2]الأقساط!$B:$B, A423))</f>
        <v/>
      </c>
      <c r="T423" t="str">
        <f t="shared" si="20"/>
        <v/>
      </c>
    </row>
    <row r="424" spans="3:20" x14ac:dyDescent="0.25">
      <c r="C424" t="str">
        <f>IF(B424="","",IFERROR(VLOOKUP(B424,المشاريع!$A:$B,2,FALSE),"⚠️ المشروع غير موجود"))</f>
        <v/>
      </c>
      <c r="J424" t="str">
        <f t="shared" si="18"/>
        <v/>
      </c>
      <c r="O424" t="str">
        <f>IF(A424="","", SUMIFS(التحصيلات!$E:$E, التحصيلات!$I:$I, A424))</f>
        <v/>
      </c>
      <c r="P424" t="str">
        <f t="shared" si="19"/>
        <v/>
      </c>
      <c r="S424" t="str">
        <f>IF(A424="","", SUMIFS(جدول [2]الأقساط!$E:$E, جدول [2]الأقساط!$B:$B, A424))</f>
        <v/>
      </c>
      <c r="T424" t="str">
        <f t="shared" si="20"/>
        <v/>
      </c>
    </row>
    <row r="425" spans="3:20" x14ac:dyDescent="0.25">
      <c r="C425" t="str">
        <f>IF(B425="","",IFERROR(VLOOKUP(B425,المشاريع!$A:$B,2,FALSE),"⚠️ المشروع غير موجود"))</f>
        <v/>
      </c>
      <c r="J425" t="str">
        <f t="shared" si="18"/>
        <v/>
      </c>
      <c r="O425" t="str">
        <f>IF(A425="","", SUMIFS(التحصيلات!$E:$E, التحصيلات!$I:$I, A425))</f>
        <v/>
      </c>
      <c r="P425" t="str">
        <f t="shared" si="19"/>
        <v/>
      </c>
      <c r="S425" t="str">
        <f>IF(A425="","", SUMIFS(جدول [2]الأقساط!$E:$E, جدول [2]الأقساط!$B:$B, A425))</f>
        <v/>
      </c>
      <c r="T425" t="str">
        <f t="shared" si="20"/>
        <v/>
      </c>
    </row>
    <row r="426" spans="3:20" x14ac:dyDescent="0.25">
      <c r="C426" t="str">
        <f>IF(B426="","",IFERROR(VLOOKUP(B426,المشاريع!$A:$B,2,FALSE),"⚠️ المشروع غير موجود"))</f>
        <v/>
      </c>
      <c r="J426" t="str">
        <f t="shared" si="18"/>
        <v/>
      </c>
      <c r="O426" t="str">
        <f>IF(A426="","", SUMIFS(التحصيلات!$E:$E, التحصيلات!$I:$I, A426))</f>
        <v/>
      </c>
      <c r="P426" t="str">
        <f t="shared" si="19"/>
        <v/>
      </c>
      <c r="S426" t="str">
        <f>IF(A426="","", SUMIFS(جدول [2]الأقساط!$E:$E, جدول [2]الأقساط!$B:$B, A426))</f>
        <v/>
      </c>
      <c r="T426" t="str">
        <f t="shared" si="20"/>
        <v/>
      </c>
    </row>
    <row r="427" spans="3:20" x14ac:dyDescent="0.25">
      <c r="C427" t="str">
        <f>IF(B427="","",IFERROR(VLOOKUP(B427,المشاريع!$A:$B,2,FALSE),"⚠️ المشروع غير موجود"))</f>
        <v/>
      </c>
      <c r="J427" t="str">
        <f t="shared" si="18"/>
        <v/>
      </c>
      <c r="O427" t="str">
        <f>IF(A427="","", SUMIFS(التحصيلات!$E:$E, التحصيلات!$I:$I, A427))</f>
        <v/>
      </c>
      <c r="P427" t="str">
        <f t="shared" si="19"/>
        <v/>
      </c>
      <c r="S427" t="str">
        <f>IF(A427="","", SUMIFS(جدول [2]الأقساط!$E:$E, جدول [2]الأقساط!$B:$B, A427))</f>
        <v/>
      </c>
      <c r="T427" t="str">
        <f t="shared" si="20"/>
        <v/>
      </c>
    </row>
    <row r="428" spans="3:20" x14ac:dyDescent="0.25">
      <c r="C428" t="str">
        <f>IF(B428="","",IFERROR(VLOOKUP(B428,المشاريع!$A:$B,2,FALSE),"⚠️ المشروع غير موجود"))</f>
        <v/>
      </c>
      <c r="J428" t="str">
        <f t="shared" si="18"/>
        <v/>
      </c>
      <c r="O428" t="str">
        <f>IF(A428="","", SUMIFS(التحصيلات!$E:$E, التحصيلات!$I:$I, A428))</f>
        <v/>
      </c>
      <c r="P428" t="str">
        <f t="shared" si="19"/>
        <v/>
      </c>
      <c r="S428" t="str">
        <f>IF(A428="","", SUMIFS(جدول [2]الأقساط!$E:$E, جدول [2]الأقساط!$B:$B, A428))</f>
        <v/>
      </c>
      <c r="T428" t="str">
        <f t="shared" si="20"/>
        <v/>
      </c>
    </row>
    <row r="429" spans="3:20" x14ac:dyDescent="0.25">
      <c r="C429" t="str">
        <f>IF(B429="","",IFERROR(VLOOKUP(B429,المشاريع!$A:$B,2,FALSE),"⚠️ المشروع غير موجود"))</f>
        <v/>
      </c>
      <c r="J429" t="str">
        <f t="shared" si="18"/>
        <v/>
      </c>
      <c r="O429" t="str">
        <f>IF(A429="","", SUMIFS(التحصيلات!$E:$E, التحصيلات!$I:$I, A429))</f>
        <v/>
      </c>
      <c r="P429" t="str">
        <f t="shared" si="19"/>
        <v/>
      </c>
      <c r="S429" t="str">
        <f>IF(A429="","", SUMIFS(جدول [2]الأقساط!$E:$E, جدول [2]الأقساط!$B:$B, A429))</f>
        <v/>
      </c>
      <c r="T429" t="str">
        <f t="shared" si="20"/>
        <v/>
      </c>
    </row>
    <row r="430" spans="3:20" x14ac:dyDescent="0.25">
      <c r="C430" t="str">
        <f>IF(B430="","",IFERROR(VLOOKUP(B430,المشاريع!$A:$B,2,FALSE),"⚠️ المشروع غير موجود"))</f>
        <v/>
      </c>
      <c r="J430" t="str">
        <f t="shared" si="18"/>
        <v/>
      </c>
      <c r="O430" t="str">
        <f>IF(A430="","", SUMIFS(التحصيلات!$E:$E, التحصيلات!$I:$I, A430))</f>
        <v/>
      </c>
      <c r="P430" t="str">
        <f t="shared" si="19"/>
        <v/>
      </c>
      <c r="S430" t="str">
        <f>IF(A430="","", SUMIFS(جدول [2]الأقساط!$E:$E, جدول [2]الأقساط!$B:$B, A430))</f>
        <v/>
      </c>
      <c r="T430" t="str">
        <f t="shared" si="20"/>
        <v/>
      </c>
    </row>
    <row r="431" spans="3:20" x14ac:dyDescent="0.25">
      <c r="C431" t="str">
        <f>IF(B431="","",IFERROR(VLOOKUP(B431,المشاريع!$A:$B,2,FALSE),"⚠️ المشروع غير موجود"))</f>
        <v/>
      </c>
      <c r="J431" t="str">
        <f t="shared" si="18"/>
        <v/>
      </c>
      <c r="O431" t="str">
        <f>IF(A431="","", SUMIFS(التحصيلات!$E:$E, التحصيلات!$I:$I, A431))</f>
        <v/>
      </c>
      <c r="P431" t="str">
        <f t="shared" si="19"/>
        <v/>
      </c>
      <c r="S431" t="str">
        <f>IF(A431="","", SUMIFS(جدول [2]الأقساط!$E:$E, جدول [2]الأقساط!$B:$B, A431))</f>
        <v/>
      </c>
      <c r="T431" t="str">
        <f t="shared" si="20"/>
        <v/>
      </c>
    </row>
    <row r="432" spans="3:20" x14ac:dyDescent="0.25">
      <c r="C432" t="str">
        <f>IF(B432="","",IFERROR(VLOOKUP(B432,المشاريع!$A:$B,2,FALSE),"⚠️ المشروع غير موجود"))</f>
        <v/>
      </c>
      <c r="J432" t="str">
        <f t="shared" si="18"/>
        <v/>
      </c>
      <c r="O432" t="str">
        <f>IF(A432="","", SUMIFS(التحصيلات!$E:$E, التحصيلات!$I:$I, A432))</f>
        <v/>
      </c>
      <c r="P432" t="str">
        <f t="shared" si="19"/>
        <v/>
      </c>
      <c r="S432" t="str">
        <f>IF(A432="","", SUMIFS(جدول [2]الأقساط!$E:$E, جدول [2]الأقساط!$B:$B, A432))</f>
        <v/>
      </c>
      <c r="T432" t="str">
        <f t="shared" si="20"/>
        <v/>
      </c>
    </row>
    <row r="433" spans="3:20" x14ac:dyDescent="0.25">
      <c r="C433" t="str">
        <f>IF(B433="","",IFERROR(VLOOKUP(B433,المشاريع!$A:$B,2,FALSE),"⚠️ المشروع غير موجود"))</f>
        <v/>
      </c>
      <c r="J433" t="str">
        <f t="shared" si="18"/>
        <v/>
      </c>
      <c r="O433" t="str">
        <f>IF(A433="","", SUMIFS(التحصيلات!$E:$E, التحصيلات!$I:$I, A433))</f>
        <v/>
      </c>
      <c r="P433" t="str">
        <f t="shared" si="19"/>
        <v/>
      </c>
      <c r="S433" t="str">
        <f>IF(A433="","", SUMIFS(جدول [2]الأقساط!$E:$E, جدول [2]الأقساط!$B:$B, A433))</f>
        <v/>
      </c>
      <c r="T433" t="str">
        <f t="shared" si="20"/>
        <v/>
      </c>
    </row>
    <row r="434" spans="3:20" x14ac:dyDescent="0.25">
      <c r="C434" t="str">
        <f>IF(B434="","",IFERROR(VLOOKUP(B434,المشاريع!$A:$B,2,FALSE),"⚠️ المشروع غير موجود"))</f>
        <v/>
      </c>
      <c r="J434" t="str">
        <f t="shared" si="18"/>
        <v/>
      </c>
      <c r="O434" t="str">
        <f>IF(A434="","", SUMIFS(التحصيلات!$E:$E, التحصيلات!$I:$I, A434))</f>
        <v/>
      </c>
      <c r="P434" t="str">
        <f t="shared" si="19"/>
        <v/>
      </c>
      <c r="S434" t="str">
        <f>IF(A434="","", SUMIFS(جدول [2]الأقساط!$E:$E, جدول [2]الأقساط!$B:$B, A434))</f>
        <v/>
      </c>
      <c r="T434" t="str">
        <f t="shared" si="20"/>
        <v/>
      </c>
    </row>
    <row r="435" spans="3:20" x14ac:dyDescent="0.25">
      <c r="C435" t="str">
        <f>IF(B435="","",IFERROR(VLOOKUP(B435,المشاريع!$A:$B,2,FALSE),"⚠️ المشروع غير موجود"))</f>
        <v/>
      </c>
      <c r="J435" t="str">
        <f t="shared" si="18"/>
        <v/>
      </c>
      <c r="O435" t="str">
        <f>IF(A435="","", SUMIFS(التحصيلات!$E:$E, التحصيلات!$I:$I, A435))</f>
        <v/>
      </c>
      <c r="P435" t="str">
        <f t="shared" si="19"/>
        <v/>
      </c>
      <c r="S435" t="str">
        <f>IF(A435="","", SUMIFS(جدول [2]الأقساط!$E:$E, جدول [2]الأقساط!$B:$B, A435))</f>
        <v/>
      </c>
      <c r="T435" t="str">
        <f t="shared" si="20"/>
        <v/>
      </c>
    </row>
    <row r="436" spans="3:20" x14ac:dyDescent="0.25">
      <c r="C436" t="str">
        <f>IF(B436="","",IFERROR(VLOOKUP(B436,المشاريع!$A:$B,2,FALSE),"⚠️ المشروع غير موجود"))</f>
        <v/>
      </c>
      <c r="J436" t="str">
        <f t="shared" si="18"/>
        <v/>
      </c>
      <c r="O436" t="str">
        <f>IF(A436="","", SUMIFS(التحصيلات!$E:$E, التحصيلات!$I:$I, A436))</f>
        <v/>
      </c>
      <c r="P436" t="str">
        <f t="shared" si="19"/>
        <v/>
      </c>
      <c r="S436" t="str">
        <f>IF(A436="","", SUMIFS(جدول [2]الأقساط!$E:$E, جدول [2]الأقساط!$B:$B, A436))</f>
        <v/>
      </c>
      <c r="T436" t="str">
        <f t="shared" si="20"/>
        <v/>
      </c>
    </row>
    <row r="437" spans="3:20" x14ac:dyDescent="0.25">
      <c r="C437" t="str">
        <f>IF(B437="","",IFERROR(VLOOKUP(B437,المشاريع!$A:$B,2,FALSE),"⚠️ المشروع غير موجود"))</f>
        <v/>
      </c>
      <c r="J437" t="str">
        <f t="shared" si="18"/>
        <v/>
      </c>
      <c r="O437" t="str">
        <f>IF(A437="","", SUMIFS(التحصيلات!$E:$E, التحصيلات!$I:$I, A437))</f>
        <v/>
      </c>
      <c r="P437" t="str">
        <f t="shared" si="19"/>
        <v/>
      </c>
      <c r="S437" t="str">
        <f>IF(A437="","", SUMIFS(جدول [2]الأقساط!$E:$E, جدول [2]الأقساط!$B:$B, A437))</f>
        <v/>
      </c>
      <c r="T437" t="str">
        <f t="shared" si="20"/>
        <v/>
      </c>
    </row>
    <row r="438" spans="3:20" x14ac:dyDescent="0.25">
      <c r="C438" t="str">
        <f>IF(B438="","",IFERROR(VLOOKUP(B438,المشاريع!$A:$B,2,FALSE),"⚠️ المشروع غير موجود"))</f>
        <v/>
      </c>
      <c r="J438" t="str">
        <f t="shared" si="18"/>
        <v/>
      </c>
      <c r="O438" t="str">
        <f>IF(A438="","", SUMIFS(التحصيلات!$E:$E, التحصيلات!$I:$I, A438))</f>
        <v/>
      </c>
      <c r="P438" t="str">
        <f t="shared" si="19"/>
        <v/>
      </c>
      <c r="S438" t="str">
        <f>IF(A438="","", SUMIFS(جدول [2]الأقساط!$E:$E, جدول [2]الأقساط!$B:$B, A438))</f>
        <v/>
      </c>
      <c r="T438" t="str">
        <f t="shared" si="20"/>
        <v/>
      </c>
    </row>
    <row r="439" spans="3:20" x14ac:dyDescent="0.25">
      <c r="C439" t="str">
        <f>IF(B439="","",IFERROR(VLOOKUP(B439,المشاريع!$A:$B,2,FALSE),"⚠️ المشروع غير موجود"))</f>
        <v/>
      </c>
      <c r="J439" t="str">
        <f t="shared" si="18"/>
        <v/>
      </c>
      <c r="O439" t="str">
        <f>IF(A439="","", SUMIFS(التحصيلات!$E:$E, التحصيلات!$I:$I, A439))</f>
        <v/>
      </c>
      <c r="P439" t="str">
        <f t="shared" si="19"/>
        <v/>
      </c>
      <c r="S439" t="str">
        <f>IF(A439="","", SUMIFS(جدول [2]الأقساط!$E:$E, جدول [2]الأقساط!$B:$B, A439))</f>
        <v/>
      </c>
      <c r="T439" t="str">
        <f t="shared" si="20"/>
        <v/>
      </c>
    </row>
    <row r="440" spans="3:20" x14ac:dyDescent="0.25">
      <c r="C440" t="str">
        <f>IF(B440="","",IFERROR(VLOOKUP(B440,المشاريع!$A:$B,2,FALSE),"⚠️ المشروع غير موجود"))</f>
        <v/>
      </c>
      <c r="J440" t="str">
        <f t="shared" si="18"/>
        <v/>
      </c>
      <c r="O440" t="str">
        <f>IF(A440="","", SUMIFS(التحصيلات!$E:$E, التحصيلات!$I:$I, A440))</f>
        <v/>
      </c>
      <c r="P440" t="str">
        <f t="shared" si="19"/>
        <v/>
      </c>
      <c r="S440" t="str">
        <f>IF(A440="","", SUMIFS(جدول [2]الأقساط!$E:$E, جدول [2]الأقساط!$B:$B, A440))</f>
        <v/>
      </c>
      <c r="T440" t="str">
        <f t="shared" si="20"/>
        <v/>
      </c>
    </row>
    <row r="441" spans="3:20" x14ac:dyDescent="0.25">
      <c r="C441" t="str">
        <f>IF(B441="","",IFERROR(VLOOKUP(B441,المشاريع!$A:$B,2,FALSE),"⚠️ المشروع غير موجود"))</f>
        <v/>
      </c>
      <c r="J441" t="str">
        <f t="shared" si="18"/>
        <v/>
      </c>
      <c r="O441" t="str">
        <f>IF(A441="","", SUMIFS(التحصيلات!$E:$E, التحصيلات!$I:$I, A441))</f>
        <v/>
      </c>
      <c r="P441" t="str">
        <f t="shared" si="19"/>
        <v/>
      </c>
      <c r="S441" t="str">
        <f>IF(A441="","", SUMIFS(جدول [2]الأقساط!$E:$E, جدول [2]الأقساط!$B:$B, A441))</f>
        <v/>
      </c>
      <c r="T441" t="str">
        <f t="shared" si="20"/>
        <v/>
      </c>
    </row>
    <row r="442" spans="3:20" x14ac:dyDescent="0.25">
      <c r="C442" t="str">
        <f>IF(B442="","",IFERROR(VLOOKUP(B442,المشاريع!$A:$B,2,FALSE),"⚠️ المشروع غير موجود"))</f>
        <v/>
      </c>
      <c r="J442" t="str">
        <f t="shared" si="18"/>
        <v/>
      </c>
      <c r="O442" t="str">
        <f>IF(A442="","", SUMIFS(التحصيلات!$E:$E, التحصيلات!$I:$I, A442))</f>
        <v/>
      </c>
      <c r="P442" t="str">
        <f t="shared" si="19"/>
        <v/>
      </c>
      <c r="S442" t="str">
        <f>IF(A442="","", SUMIFS(جدول [2]الأقساط!$E:$E, جدول [2]الأقساط!$B:$B, A442))</f>
        <v/>
      </c>
      <c r="T442" t="str">
        <f t="shared" si="20"/>
        <v/>
      </c>
    </row>
    <row r="443" spans="3:20" x14ac:dyDescent="0.25">
      <c r="C443" t="str">
        <f>IF(B443="","",IFERROR(VLOOKUP(B443,المشاريع!$A:$B,2,FALSE),"⚠️ المشروع غير موجود"))</f>
        <v/>
      </c>
      <c r="J443" t="str">
        <f t="shared" si="18"/>
        <v/>
      </c>
      <c r="O443" t="str">
        <f>IF(A443="","", SUMIFS(التحصيلات!$E:$E, التحصيلات!$I:$I, A443))</f>
        <v/>
      </c>
      <c r="P443" t="str">
        <f t="shared" si="19"/>
        <v/>
      </c>
      <c r="S443" t="str">
        <f>IF(A443="","", SUMIFS(جدول [2]الأقساط!$E:$E, جدول [2]الأقساط!$B:$B, A443))</f>
        <v/>
      </c>
      <c r="T443" t="str">
        <f t="shared" si="20"/>
        <v/>
      </c>
    </row>
    <row r="444" spans="3:20" x14ac:dyDescent="0.25">
      <c r="C444" t="str">
        <f>IF(B444="","",IFERROR(VLOOKUP(B444,المشاريع!$A:$B,2,FALSE),"⚠️ المشروع غير موجود"))</f>
        <v/>
      </c>
      <c r="J444" t="str">
        <f t="shared" si="18"/>
        <v/>
      </c>
      <c r="O444" t="str">
        <f>IF(A444="","", SUMIFS(التحصيلات!$E:$E, التحصيلات!$I:$I, A444))</f>
        <v/>
      </c>
      <c r="P444" t="str">
        <f t="shared" si="19"/>
        <v/>
      </c>
      <c r="S444" t="str">
        <f>IF(A444="","", SUMIFS(جدول [2]الأقساط!$E:$E, جدول [2]الأقساط!$B:$B, A444))</f>
        <v/>
      </c>
      <c r="T444" t="str">
        <f t="shared" si="20"/>
        <v/>
      </c>
    </row>
    <row r="445" spans="3:20" x14ac:dyDescent="0.25">
      <c r="C445" t="str">
        <f>IF(B445="","",IFERROR(VLOOKUP(B445,المشاريع!$A:$B,2,FALSE),"⚠️ المشروع غير موجود"))</f>
        <v/>
      </c>
      <c r="J445" t="str">
        <f t="shared" si="18"/>
        <v/>
      </c>
      <c r="O445" t="str">
        <f>IF(A445="","", SUMIFS(التحصيلات!$E:$E, التحصيلات!$I:$I, A445))</f>
        <v/>
      </c>
      <c r="P445" t="str">
        <f t="shared" si="19"/>
        <v/>
      </c>
      <c r="S445" t="str">
        <f>IF(A445="","", SUMIFS(جدول [2]الأقساط!$E:$E, جدول [2]الأقساط!$B:$B, A445))</f>
        <v/>
      </c>
      <c r="T445" t="str">
        <f t="shared" si="20"/>
        <v/>
      </c>
    </row>
    <row r="446" spans="3:20" x14ac:dyDescent="0.25">
      <c r="C446" t="str">
        <f>IF(B446="","",IFERROR(VLOOKUP(B446,المشاريع!$A:$B,2,FALSE),"⚠️ المشروع غير موجود"))</f>
        <v/>
      </c>
      <c r="J446" t="str">
        <f t="shared" si="18"/>
        <v/>
      </c>
      <c r="O446" t="str">
        <f>IF(A446="","", SUMIFS(التحصيلات!$E:$E, التحصيلات!$I:$I, A446))</f>
        <v/>
      </c>
      <c r="P446" t="str">
        <f t="shared" si="19"/>
        <v/>
      </c>
      <c r="S446" t="str">
        <f>IF(A446="","", SUMIFS(جدول [2]الأقساط!$E:$E, جدول [2]الأقساط!$B:$B, A446))</f>
        <v/>
      </c>
      <c r="T446" t="str">
        <f t="shared" si="20"/>
        <v/>
      </c>
    </row>
    <row r="447" spans="3:20" x14ac:dyDescent="0.25">
      <c r="C447" t="str">
        <f>IF(B447="","",IFERROR(VLOOKUP(B447,المشاريع!$A:$B,2,FALSE),"⚠️ المشروع غير موجود"))</f>
        <v/>
      </c>
      <c r="J447" t="str">
        <f t="shared" si="18"/>
        <v/>
      </c>
      <c r="O447" t="str">
        <f>IF(A447="","", SUMIFS(التحصيلات!$E:$E, التحصيلات!$I:$I, A447))</f>
        <v/>
      </c>
      <c r="P447" t="str">
        <f t="shared" si="19"/>
        <v/>
      </c>
      <c r="S447" t="str">
        <f>IF(A447="","", SUMIFS(جدول [2]الأقساط!$E:$E, جدول [2]الأقساط!$B:$B, A447))</f>
        <v/>
      </c>
      <c r="T447" t="str">
        <f t="shared" si="20"/>
        <v/>
      </c>
    </row>
    <row r="448" spans="3:20" x14ac:dyDescent="0.25">
      <c r="C448" t="str">
        <f>IF(B448="","",IFERROR(VLOOKUP(B448,المشاريع!$A:$B,2,FALSE),"⚠️ المشروع غير موجود"))</f>
        <v/>
      </c>
      <c r="J448" t="str">
        <f t="shared" si="18"/>
        <v/>
      </c>
      <c r="O448" t="str">
        <f>IF(A448="","", SUMIFS(التحصيلات!$E:$E, التحصيلات!$I:$I, A448))</f>
        <v/>
      </c>
      <c r="P448" t="str">
        <f t="shared" si="19"/>
        <v/>
      </c>
      <c r="S448" t="str">
        <f>IF(A448="","", SUMIFS(جدول [2]الأقساط!$E:$E, جدول [2]الأقساط!$B:$B, A448))</f>
        <v/>
      </c>
      <c r="T448" t="str">
        <f t="shared" si="20"/>
        <v/>
      </c>
    </row>
    <row r="449" spans="3:20" x14ac:dyDescent="0.25">
      <c r="C449" t="str">
        <f>IF(B449="","",IFERROR(VLOOKUP(B449,المشاريع!$A:$B,2,FALSE),"⚠️ المشروع غير موجود"))</f>
        <v/>
      </c>
      <c r="J449" t="str">
        <f t="shared" si="18"/>
        <v/>
      </c>
      <c r="O449" t="str">
        <f>IF(A449="","", SUMIFS(التحصيلات!$E:$E, التحصيلات!$I:$I, A449))</f>
        <v/>
      </c>
      <c r="P449" t="str">
        <f t="shared" si="19"/>
        <v/>
      </c>
      <c r="S449" t="str">
        <f>IF(A449="","", SUMIFS(جدول [2]الأقساط!$E:$E, جدول [2]الأقساط!$B:$B, A449))</f>
        <v/>
      </c>
      <c r="T449" t="str">
        <f t="shared" si="20"/>
        <v/>
      </c>
    </row>
    <row r="450" spans="3:20" x14ac:dyDescent="0.25">
      <c r="C450" t="str">
        <f>IF(B450="","",IFERROR(VLOOKUP(B450,المشاريع!$A:$B,2,FALSE),"⚠️ المشروع غير موجود"))</f>
        <v/>
      </c>
      <c r="J450" t="str">
        <f t="shared" si="18"/>
        <v/>
      </c>
      <c r="O450" t="str">
        <f>IF(A450="","", SUMIFS(التحصيلات!$E:$E, التحصيلات!$I:$I, A450))</f>
        <v/>
      </c>
      <c r="P450" t="str">
        <f t="shared" si="19"/>
        <v/>
      </c>
      <c r="S450" t="str">
        <f>IF(A450="","", SUMIFS(جدول [2]الأقساط!$E:$E, جدول [2]الأقساط!$B:$B, A450))</f>
        <v/>
      </c>
      <c r="T450" t="str">
        <f t="shared" si="20"/>
        <v/>
      </c>
    </row>
    <row r="451" spans="3:20" x14ac:dyDescent="0.25">
      <c r="C451" t="str">
        <f>IF(B451="","",IFERROR(VLOOKUP(B451,المشاريع!$A:$B,2,FALSE),"⚠️ المشروع غير موجود"))</f>
        <v/>
      </c>
      <c r="J451" t="str">
        <f t="shared" ref="J451:J499" si="21">IF(G451="","", G451 - IF(I451="",0,I451))</f>
        <v/>
      </c>
      <c r="O451" t="str">
        <f>IF(A451="","", SUMIFS(التحصيلات!$E:$E, التحصيلات!$I:$I, A451))</f>
        <v/>
      </c>
      <c r="P451" t="str">
        <f t="shared" ref="P451:P499" si="22">IF(G451="","", G451 - O451)</f>
        <v/>
      </c>
      <c r="S451" t="str">
        <f>IF(A451="","", SUMIFS(جدول [2]الأقساط!$E:$E, جدول [2]الأقساط!$B:$B, A451))</f>
        <v/>
      </c>
      <c r="T451" t="str">
        <f t="shared" ref="T451:T499" si="23">IF(A451="","", IF(OR(H451="تقسيط", H451="كاش + تقسيط"), IF(ROUND(ABS(S451-J451),2)&gt;0, "⚠️ جدول الأقساط غير متطابق", "سليم"), "سليم"))</f>
        <v/>
      </c>
    </row>
    <row r="452" spans="3:20" x14ac:dyDescent="0.25">
      <c r="C452" t="str">
        <f>IF(B452="","",IFERROR(VLOOKUP(B452,المشاريع!$A:$B,2,FALSE),"⚠️ المشروع غير موجود"))</f>
        <v/>
      </c>
      <c r="J452" t="str">
        <f t="shared" si="21"/>
        <v/>
      </c>
      <c r="O452" t="str">
        <f>IF(A452="","", SUMIFS(التحصيلات!$E:$E, التحصيلات!$I:$I, A452))</f>
        <v/>
      </c>
      <c r="P452" t="str">
        <f t="shared" si="22"/>
        <v/>
      </c>
      <c r="S452" t="str">
        <f>IF(A452="","", SUMIFS(جدول [2]الأقساط!$E:$E, جدول [2]الأقساط!$B:$B, A452))</f>
        <v/>
      </c>
      <c r="T452" t="str">
        <f t="shared" si="23"/>
        <v/>
      </c>
    </row>
    <row r="453" spans="3:20" x14ac:dyDescent="0.25">
      <c r="C453" t="str">
        <f>IF(B453="","",IFERROR(VLOOKUP(B453,المشاريع!$A:$B,2,FALSE),"⚠️ المشروع غير موجود"))</f>
        <v/>
      </c>
      <c r="J453" t="str">
        <f t="shared" si="21"/>
        <v/>
      </c>
      <c r="O453" t="str">
        <f>IF(A453="","", SUMIFS(التحصيلات!$E:$E, التحصيلات!$I:$I, A453))</f>
        <v/>
      </c>
      <c r="P453" t="str">
        <f t="shared" si="22"/>
        <v/>
      </c>
      <c r="S453" t="str">
        <f>IF(A453="","", SUMIFS(جدول [2]الأقساط!$E:$E, جدول [2]الأقساط!$B:$B, A453))</f>
        <v/>
      </c>
      <c r="T453" t="str">
        <f t="shared" si="23"/>
        <v/>
      </c>
    </row>
    <row r="454" spans="3:20" x14ac:dyDescent="0.25">
      <c r="C454" t="str">
        <f>IF(B454="","",IFERROR(VLOOKUP(B454,المشاريع!$A:$B,2,FALSE),"⚠️ المشروع غير موجود"))</f>
        <v/>
      </c>
      <c r="J454" t="str">
        <f t="shared" si="21"/>
        <v/>
      </c>
      <c r="O454" t="str">
        <f>IF(A454="","", SUMIFS(التحصيلات!$E:$E, التحصيلات!$I:$I, A454))</f>
        <v/>
      </c>
      <c r="P454" t="str">
        <f t="shared" si="22"/>
        <v/>
      </c>
      <c r="S454" t="str">
        <f>IF(A454="","", SUMIFS(جدول [2]الأقساط!$E:$E, جدول [2]الأقساط!$B:$B, A454))</f>
        <v/>
      </c>
      <c r="T454" t="str">
        <f t="shared" si="23"/>
        <v/>
      </c>
    </row>
    <row r="455" spans="3:20" x14ac:dyDescent="0.25">
      <c r="C455" t="str">
        <f>IF(B455="","",IFERROR(VLOOKUP(B455,المشاريع!$A:$B,2,FALSE),"⚠️ المشروع غير موجود"))</f>
        <v/>
      </c>
      <c r="J455" t="str">
        <f t="shared" si="21"/>
        <v/>
      </c>
      <c r="O455" t="str">
        <f>IF(A455="","", SUMIFS(التحصيلات!$E:$E, التحصيلات!$I:$I, A455))</f>
        <v/>
      </c>
      <c r="P455" t="str">
        <f t="shared" si="22"/>
        <v/>
      </c>
      <c r="S455" t="str">
        <f>IF(A455="","", SUMIFS(جدول [2]الأقساط!$E:$E, جدول [2]الأقساط!$B:$B, A455))</f>
        <v/>
      </c>
      <c r="T455" t="str">
        <f t="shared" si="23"/>
        <v/>
      </c>
    </row>
    <row r="456" spans="3:20" x14ac:dyDescent="0.25">
      <c r="C456" t="str">
        <f>IF(B456="","",IFERROR(VLOOKUP(B456,المشاريع!$A:$B,2,FALSE),"⚠️ المشروع غير موجود"))</f>
        <v/>
      </c>
      <c r="J456" t="str">
        <f t="shared" si="21"/>
        <v/>
      </c>
      <c r="O456" t="str">
        <f>IF(A456="","", SUMIFS(التحصيلات!$E:$E, التحصيلات!$I:$I, A456))</f>
        <v/>
      </c>
      <c r="P456" t="str">
        <f t="shared" si="22"/>
        <v/>
      </c>
      <c r="S456" t="str">
        <f>IF(A456="","", SUMIFS(جدول [2]الأقساط!$E:$E, جدول [2]الأقساط!$B:$B, A456))</f>
        <v/>
      </c>
      <c r="T456" t="str">
        <f t="shared" si="23"/>
        <v/>
      </c>
    </row>
    <row r="457" spans="3:20" x14ac:dyDescent="0.25">
      <c r="C457" t="str">
        <f>IF(B457="","",IFERROR(VLOOKUP(B457,المشاريع!$A:$B,2,FALSE),"⚠️ المشروع غير موجود"))</f>
        <v/>
      </c>
      <c r="J457" t="str">
        <f t="shared" si="21"/>
        <v/>
      </c>
      <c r="O457" t="str">
        <f>IF(A457="","", SUMIFS(التحصيلات!$E:$E, التحصيلات!$I:$I, A457))</f>
        <v/>
      </c>
      <c r="P457" t="str">
        <f t="shared" si="22"/>
        <v/>
      </c>
      <c r="S457" t="str">
        <f>IF(A457="","", SUMIFS(جدول [2]الأقساط!$E:$E, جدول [2]الأقساط!$B:$B, A457))</f>
        <v/>
      </c>
      <c r="T457" t="str">
        <f t="shared" si="23"/>
        <v/>
      </c>
    </row>
    <row r="458" spans="3:20" x14ac:dyDescent="0.25">
      <c r="C458" t="str">
        <f>IF(B458="","",IFERROR(VLOOKUP(B458,المشاريع!$A:$B,2,FALSE),"⚠️ المشروع غير موجود"))</f>
        <v/>
      </c>
      <c r="J458" t="str">
        <f t="shared" si="21"/>
        <v/>
      </c>
      <c r="O458" t="str">
        <f>IF(A458="","", SUMIFS(التحصيلات!$E:$E, التحصيلات!$I:$I, A458))</f>
        <v/>
      </c>
      <c r="P458" t="str">
        <f t="shared" si="22"/>
        <v/>
      </c>
      <c r="S458" t="str">
        <f>IF(A458="","", SUMIFS(جدول [2]الأقساط!$E:$E, جدول [2]الأقساط!$B:$B, A458))</f>
        <v/>
      </c>
      <c r="T458" t="str">
        <f t="shared" si="23"/>
        <v/>
      </c>
    </row>
    <row r="459" spans="3:20" x14ac:dyDescent="0.25">
      <c r="C459" t="str">
        <f>IF(B459="","",IFERROR(VLOOKUP(B459,المشاريع!$A:$B,2,FALSE),"⚠️ المشروع غير موجود"))</f>
        <v/>
      </c>
      <c r="J459" t="str">
        <f t="shared" si="21"/>
        <v/>
      </c>
      <c r="O459" t="str">
        <f>IF(A459="","", SUMIFS(التحصيلات!$E:$E, التحصيلات!$I:$I, A459))</f>
        <v/>
      </c>
      <c r="P459" t="str">
        <f t="shared" si="22"/>
        <v/>
      </c>
      <c r="S459" t="str">
        <f>IF(A459="","", SUMIFS(جدول [2]الأقساط!$E:$E, جدول [2]الأقساط!$B:$B, A459))</f>
        <v/>
      </c>
      <c r="T459" t="str">
        <f t="shared" si="23"/>
        <v/>
      </c>
    </row>
    <row r="460" spans="3:20" x14ac:dyDescent="0.25">
      <c r="C460" t="str">
        <f>IF(B460="","",IFERROR(VLOOKUP(B460,المشاريع!$A:$B,2,FALSE),"⚠️ المشروع غير موجود"))</f>
        <v/>
      </c>
      <c r="J460" t="str">
        <f t="shared" si="21"/>
        <v/>
      </c>
      <c r="O460" t="str">
        <f>IF(A460="","", SUMIFS(التحصيلات!$E:$E, التحصيلات!$I:$I, A460))</f>
        <v/>
      </c>
      <c r="P460" t="str">
        <f t="shared" si="22"/>
        <v/>
      </c>
      <c r="S460" t="str">
        <f>IF(A460="","", SUMIFS(جدول [2]الأقساط!$E:$E, جدول [2]الأقساط!$B:$B, A460))</f>
        <v/>
      </c>
      <c r="T460" t="str">
        <f t="shared" si="23"/>
        <v/>
      </c>
    </row>
    <row r="461" spans="3:20" x14ac:dyDescent="0.25">
      <c r="C461" t="str">
        <f>IF(B461="","",IFERROR(VLOOKUP(B461,المشاريع!$A:$B,2,FALSE),"⚠️ المشروع غير موجود"))</f>
        <v/>
      </c>
      <c r="J461" t="str">
        <f t="shared" si="21"/>
        <v/>
      </c>
      <c r="O461" t="str">
        <f>IF(A461="","", SUMIFS(التحصيلات!$E:$E, التحصيلات!$I:$I, A461))</f>
        <v/>
      </c>
      <c r="P461" t="str">
        <f t="shared" si="22"/>
        <v/>
      </c>
      <c r="S461" t="str">
        <f>IF(A461="","", SUMIFS(جدول [2]الأقساط!$E:$E, جدول [2]الأقساط!$B:$B, A461))</f>
        <v/>
      </c>
      <c r="T461" t="str">
        <f t="shared" si="23"/>
        <v/>
      </c>
    </row>
    <row r="462" spans="3:20" x14ac:dyDescent="0.25">
      <c r="C462" t="str">
        <f>IF(B462="","",IFERROR(VLOOKUP(B462,المشاريع!$A:$B,2,FALSE),"⚠️ المشروع غير موجود"))</f>
        <v/>
      </c>
      <c r="J462" t="str">
        <f t="shared" si="21"/>
        <v/>
      </c>
      <c r="O462" t="str">
        <f>IF(A462="","", SUMIFS(التحصيلات!$E:$E, التحصيلات!$I:$I, A462))</f>
        <v/>
      </c>
      <c r="P462" t="str">
        <f t="shared" si="22"/>
        <v/>
      </c>
      <c r="S462" t="str">
        <f>IF(A462="","", SUMIFS(جدول [2]الأقساط!$E:$E, جدول [2]الأقساط!$B:$B, A462))</f>
        <v/>
      </c>
      <c r="T462" t="str">
        <f t="shared" si="23"/>
        <v/>
      </c>
    </row>
    <row r="463" spans="3:20" x14ac:dyDescent="0.25">
      <c r="C463" t="str">
        <f>IF(B463="","",IFERROR(VLOOKUP(B463,المشاريع!$A:$B,2,FALSE),"⚠️ المشروع غير موجود"))</f>
        <v/>
      </c>
      <c r="J463" t="str">
        <f t="shared" si="21"/>
        <v/>
      </c>
      <c r="O463" t="str">
        <f>IF(A463="","", SUMIFS(التحصيلات!$E:$E, التحصيلات!$I:$I, A463))</f>
        <v/>
      </c>
      <c r="P463" t="str">
        <f t="shared" si="22"/>
        <v/>
      </c>
      <c r="S463" t="str">
        <f>IF(A463="","", SUMIFS(جدول [2]الأقساط!$E:$E, جدول [2]الأقساط!$B:$B, A463))</f>
        <v/>
      </c>
      <c r="T463" t="str">
        <f t="shared" si="23"/>
        <v/>
      </c>
    </row>
    <row r="464" spans="3:20" x14ac:dyDescent="0.25">
      <c r="C464" t="str">
        <f>IF(B464="","",IFERROR(VLOOKUP(B464,المشاريع!$A:$B,2,FALSE),"⚠️ المشروع غير موجود"))</f>
        <v/>
      </c>
      <c r="J464" t="str">
        <f t="shared" si="21"/>
        <v/>
      </c>
      <c r="O464" t="str">
        <f>IF(A464="","", SUMIFS(التحصيلات!$E:$E, التحصيلات!$I:$I, A464))</f>
        <v/>
      </c>
      <c r="P464" t="str">
        <f t="shared" si="22"/>
        <v/>
      </c>
      <c r="S464" t="str">
        <f>IF(A464="","", SUMIFS(جدول [2]الأقساط!$E:$E, جدول [2]الأقساط!$B:$B, A464))</f>
        <v/>
      </c>
      <c r="T464" t="str">
        <f t="shared" si="23"/>
        <v/>
      </c>
    </row>
    <row r="465" spans="3:20" x14ac:dyDescent="0.25">
      <c r="C465" t="str">
        <f>IF(B465="","",IFERROR(VLOOKUP(B465,المشاريع!$A:$B,2,FALSE),"⚠️ المشروع غير موجود"))</f>
        <v/>
      </c>
      <c r="J465" t="str">
        <f t="shared" si="21"/>
        <v/>
      </c>
      <c r="O465" t="str">
        <f>IF(A465="","", SUMIFS(التحصيلات!$E:$E, التحصيلات!$I:$I, A465))</f>
        <v/>
      </c>
      <c r="P465" t="str">
        <f t="shared" si="22"/>
        <v/>
      </c>
      <c r="S465" t="str">
        <f>IF(A465="","", SUMIFS(جدول [2]الأقساط!$E:$E, جدول [2]الأقساط!$B:$B, A465))</f>
        <v/>
      </c>
      <c r="T465" t="str">
        <f t="shared" si="23"/>
        <v/>
      </c>
    </row>
    <row r="466" spans="3:20" x14ac:dyDescent="0.25">
      <c r="C466" t="str">
        <f>IF(B466="","",IFERROR(VLOOKUP(B466,المشاريع!$A:$B,2,FALSE),"⚠️ المشروع غير موجود"))</f>
        <v/>
      </c>
      <c r="J466" t="str">
        <f t="shared" si="21"/>
        <v/>
      </c>
      <c r="O466" t="str">
        <f>IF(A466="","", SUMIFS(التحصيلات!$E:$E, التحصيلات!$I:$I, A466))</f>
        <v/>
      </c>
      <c r="P466" t="str">
        <f t="shared" si="22"/>
        <v/>
      </c>
      <c r="S466" t="str">
        <f>IF(A466="","", SUMIFS(جدول [2]الأقساط!$E:$E, جدول [2]الأقساط!$B:$B, A466))</f>
        <v/>
      </c>
      <c r="T466" t="str">
        <f t="shared" si="23"/>
        <v/>
      </c>
    </row>
    <row r="467" spans="3:20" x14ac:dyDescent="0.25">
      <c r="C467" t="str">
        <f>IF(B467="","",IFERROR(VLOOKUP(B467,المشاريع!$A:$B,2,FALSE),"⚠️ المشروع غير موجود"))</f>
        <v/>
      </c>
      <c r="J467" t="str">
        <f t="shared" si="21"/>
        <v/>
      </c>
      <c r="O467" t="str">
        <f>IF(A467="","", SUMIFS(التحصيلات!$E:$E, التحصيلات!$I:$I, A467))</f>
        <v/>
      </c>
      <c r="P467" t="str">
        <f t="shared" si="22"/>
        <v/>
      </c>
      <c r="S467" t="str">
        <f>IF(A467="","", SUMIFS(جدول [2]الأقساط!$E:$E, جدول [2]الأقساط!$B:$B, A467))</f>
        <v/>
      </c>
      <c r="T467" t="str">
        <f t="shared" si="23"/>
        <v/>
      </c>
    </row>
    <row r="468" spans="3:20" x14ac:dyDescent="0.25">
      <c r="C468" t="str">
        <f>IF(B468="","",IFERROR(VLOOKUP(B468,المشاريع!$A:$B,2,FALSE),"⚠️ المشروع غير موجود"))</f>
        <v/>
      </c>
      <c r="J468" t="str">
        <f t="shared" si="21"/>
        <v/>
      </c>
      <c r="O468" t="str">
        <f>IF(A468="","", SUMIFS(التحصيلات!$E:$E, التحصيلات!$I:$I, A468))</f>
        <v/>
      </c>
      <c r="P468" t="str">
        <f t="shared" si="22"/>
        <v/>
      </c>
      <c r="S468" t="str">
        <f>IF(A468="","", SUMIFS(جدول [2]الأقساط!$E:$E, جدول [2]الأقساط!$B:$B, A468))</f>
        <v/>
      </c>
      <c r="T468" t="str">
        <f t="shared" si="23"/>
        <v/>
      </c>
    </row>
    <row r="469" spans="3:20" x14ac:dyDescent="0.25">
      <c r="C469" t="str">
        <f>IF(B469="","",IFERROR(VLOOKUP(B469,المشاريع!$A:$B,2,FALSE),"⚠️ المشروع غير موجود"))</f>
        <v/>
      </c>
      <c r="J469" t="str">
        <f t="shared" si="21"/>
        <v/>
      </c>
      <c r="O469" t="str">
        <f>IF(A469="","", SUMIFS(التحصيلات!$E:$E, التحصيلات!$I:$I, A469))</f>
        <v/>
      </c>
      <c r="P469" t="str">
        <f t="shared" si="22"/>
        <v/>
      </c>
      <c r="S469" t="str">
        <f>IF(A469="","", SUMIFS(جدول [2]الأقساط!$E:$E, جدول [2]الأقساط!$B:$B, A469))</f>
        <v/>
      </c>
      <c r="T469" t="str">
        <f t="shared" si="23"/>
        <v/>
      </c>
    </row>
    <row r="470" spans="3:20" x14ac:dyDescent="0.25">
      <c r="C470" t="str">
        <f>IF(B470="","",IFERROR(VLOOKUP(B470,المشاريع!$A:$B,2,FALSE),"⚠️ المشروع غير موجود"))</f>
        <v/>
      </c>
      <c r="J470" t="str">
        <f t="shared" si="21"/>
        <v/>
      </c>
      <c r="O470" t="str">
        <f>IF(A470="","", SUMIFS(التحصيلات!$E:$E, التحصيلات!$I:$I, A470))</f>
        <v/>
      </c>
      <c r="P470" t="str">
        <f t="shared" si="22"/>
        <v/>
      </c>
      <c r="S470" t="str">
        <f>IF(A470="","", SUMIFS(جدول [2]الأقساط!$E:$E, جدول [2]الأقساط!$B:$B, A470))</f>
        <v/>
      </c>
      <c r="T470" t="str">
        <f t="shared" si="23"/>
        <v/>
      </c>
    </row>
    <row r="471" spans="3:20" x14ac:dyDescent="0.25">
      <c r="C471" t="str">
        <f>IF(B471="","",IFERROR(VLOOKUP(B471,المشاريع!$A:$B,2,FALSE),"⚠️ المشروع غير موجود"))</f>
        <v/>
      </c>
      <c r="J471" t="str">
        <f t="shared" si="21"/>
        <v/>
      </c>
      <c r="O471" t="str">
        <f>IF(A471="","", SUMIFS(التحصيلات!$E:$E, التحصيلات!$I:$I, A471))</f>
        <v/>
      </c>
      <c r="P471" t="str">
        <f t="shared" si="22"/>
        <v/>
      </c>
      <c r="S471" t="str">
        <f>IF(A471="","", SUMIFS(جدول [2]الأقساط!$E:$E, جدول [2]الأقساط!$B:$B, A471))</f>
        <v/>
      </c>
      <c r="T471" t="str">
        <f t="shared" si="23"/>
        <v/>
      </c>
    </row>
    <row r="472" spans="3:20" x14ac:dyDescent="0.25">
      <c r="C472" t="str">
        <f>IF(B472="","",IFERROR(VLOOKUP(B472,المشاريع!$A:$B,2,FALSE),"⚠️ المشروع غير موجود"))</f>
        <v/>
      </c>
      <c r="J472" t="str">
        <f t="shared" si="21"/>
        <v/>
      </c>
      <c r="O472" t="str">
        <f>IF(A472="","", SUMIFS(التحصيلات!$E:$E, التحصيلات!$I:$I, A472))</f>
        <v/>
      </c>
      <c r="P472" t="str">
        <f t="shared" si="22"/>
        <v/>
      </c>
      <c r="S472" t="str">
        <f>IF(A472="","", SUMIFS(جدول [2]الأقساط!$E:$E, جدول [2]الأقساط!$B:$B, A472))</f>
        <v/>
      </c>
      <c r="T472" t="str">
        <f t="shared" si="23"/>
        <v/>
      </c>
    </row>
    <row r="473" spans="3:20" x14ac:dyDescent="0.25">
      <c r="C473" t="str">
        <f>IF(B473="","",IFERROR(VLOOKUP(B473,المشاريع!$A:$B,2,FALSE),"⚠️ المشروع غير موجود"))</f>
        <v/>
      </c>
      <c r="J473" t="str">
        <f t="shared" si="21"/>
        <v/>
      </c>
      <c r="O473" t="str">
        <f>IF(A473="","", SUMIFS(التحصيلات!$E:$E, التحصيلات!$I:$I, A473))</f>
        <v/>
      </c>
      <c r="P473" t="str">
        <f t="shared" si="22"/>
        <v/>
      </c>
      <c r="S473" t="str">
        <f>IF(A473="","", SUMIFS(جدول [2]الأقساط!$E:$E, جدول [2]الأقساط!$B:$B, A473))</f>
        <v/>
      </c>
      <c r="T473" t="str">
        <f t="shared" si="23"/>
        <v/>
      </c>
    </row>
    <row r="474" spans="3:20" x14ac:dyDescent="0.25">
      <c r="C474" t="str">
        <f>IF(B474="","",IFERROR(VLOOKUP(B474,المشاريع!$A:$B,2,FALSE),"⚠️ المشروع غير موجود"))</f>
        <v/>
      </c>
      <c r="J474" t="str">
        <f t="shared" si="21"/>
        <v/>
      </c>
      <c r="O474" t="str">
        <f>IF(A474="","", SUMIFS(التحصيلات!$E:$E, التحصيلات!$I:$I, A474))</f>
        <v/>
      </c>
      <c r="P474" t="str">
        <f t="shared" si="22"/>
        <v/>
      </c>
      <c r="S474" t="str">
        <f>IF(A474="","", SUMIFS(جدول [2]الأقساط!$E:$E, جدول [2]الأقساط!$B:$B, A474))</f>
        <v/>
      </c>
      <c r="T474" t="str">
        <f t="shared" si="23"/>
        <v/>
      </c>
    </row>
    <row r="475" spans="3:20" x14ac:dyDescent="0.25">
      <c r="C475" t="str">
        <f>IF(B475="","",IFERROR(VLOOKUP(B475,المشاريع!$A:$B,2,FALSE),"⚠️ المشروع غير موجود"))</f>
        <v/>
      </c>
      <c r="J475" t="str">
        <f t="shared" si="21"/>
        <v/>
      </c>
      <c r="O475" t="str">
        <f>IF(A475="","", SUMIFS(التحصيلات!$E:$E, التحصيلات!$I:$I, A475))</f>
        <v/>
      </c>
      <c r="P475" t="str">
        <f t="shared" si="22"/>
        <v/>
      </c>
      <c r="S475" t="str">
        <f>IF(A475="","", SUMIFS(جدول [2]الأقساط!$E:$E, جدول [2]الأقساط!$B:$B, A475))</f>
        <v/>
      </c>
      <c r="T475" t="str">
        <f t="shared" si="23"/>
        <v/>
      </c>
    </row>
    <row r="476" spans="3:20" x14ac:dyDescent="0.25">
      <c r="C476" t="str">
        <f>IF(B476="","",IFERROR(VLOOKUP(B476,المشاريع!$A:$B,2,FALSE),"⚠️ المشروع غير موجود"))</f>
        <v/>
      </c>
      <c r="J476" t="str">
        <f t="shared" si="21"/>
        <v/>
      </c>
      <c r="O476" t="str">
        <f>IF(A476="","", SUMIFS(التحصيلات!$E:$E, التحصيلات!$I:$I, A476))</f>
        <v/>
      </c>
      <c r="P476" t="str">
        <f t="shared" si="22"/>
        <v/>
      </c>
      <c r="S476" t="str">
        <f>IF(A476="","", SUMIFS(جدول [2]الأقساط!$E:$E, جدول [2]الأقساط!$B:$B, A476))</f>
        <v/>
      </c>
      <c r="T476" t="str">
        <f t="shared" si="23"/>
        <v/>
      </c>
    </row>
    <row r="477" spans="3:20" x14ac:dyDescent="0.25">
      <c r="C477" t="str">
        <f>IF(B477="","",IFERROR(VLOOKUP(B477,المشاريع!$A:$B,2,FALSE),"⚠️ المشروع غير موجود"))</f>
        <v/>
      </c>
      <c r="J477" t="str">
        <f t="shared" si="21"/>
        <v/>
      </c>
      <c r="O477" t="str">
        <f>IF(A477="","", SUMIFS(التحصيلات!$E:$E, التحصيلات!$I:$I, A477))</f>
        <v/>
      </c>
      <c r="P477" t="str">
        <f t="shared" si="22"/>
        <v/>
      </c>
      <c r="S477" t="str">
        <f>IF(A477="","", SUMIFS(جدول [2]الأقساط!$E:$E, جدول [2]الأقساط!$B:$B, A477))</f>
        <v/>
      </c>
      <c r="T477" t="str">
        <f t="shared" si="23"/>
        <v/>
      </c>
    </row>
    <row r="478" spans="3:20" x14ac:dyDescent="0.25">
      <c r="C478" t="str">
        <f>IF(B478="","",IFERROR(VLOOKUP(B478,المشاريع!$A:$B,2,FALSE),"⚠️ المشروع غير موجود"))</f>
        <v/>
      </c>
      <c r="J478" t="str">
        <f t="shared" si="21"/>
        <v/>
      </c>
      <c r="O478" t="str">
        <f>IF(A478="","", SUMIFS(التحصيلات!$E:$E, التحصيلات!$I:$I, A478))</f>
        <v/>
      </c>
      <c r="P478" t="str">
        <f t="shared" si="22"/>
        <v/>
      </c>
      <c r="S478" t="str">
        <f>IF(A478="","", SUMIFS(جدول [2]الأقساط!$E:$E, جدول [2]الأقساط!$B:$B, A478))</f>
        <v/>
      </c>
      <c r="T478" t="str">
        <f t="shared" si="23"/>
        <v/>
      </c>
    </row>
    <row r="479" spans="3:20" x14ac:dyDescent="0.25">
      <c r="C479" t="str">
        <f>IF(B479="","",IFERROR(VLOOKUP(B479,المشاريع!$A:$B,2,FALSE),"⚠️ المشروع غير موجود"))</f>
        <v/>
      </c>
      <c r="J479" t="str">
        <f t="shared" si="21"/>
        <v/>
      </c>
      <c r="O479" t="str">
        <f>IF(A479="","", SUMIFS(التحصيلات!$E:$E, التحصيلات!$I:$I, A479))</f>
        <v/>
      </c>
      <c r="P479" t="str">
        <f t="shared" si="22"/>
        <v/>
      </c>
      <c r="S479" t="str">
        <f>IF(A479="","", SUMIFS(جدول [2]الأقساط!$E:$E, جدول [2]الأقساط!$B:$B, A479))</f>
        <v/>
      </c>
      <c r="T479" t="str">
        <f t="shared" si="23"/>
        <v/>
      </c>
    </row>
    <row r="480" spans="3:20" x14ac:dyDescent="0.25">
      <c r="C480" t="str">
        <f>IF(B480="","",IFERROR(VLOOKUP(B480,المشاريع!$A:$B,2,FALSE),"⚠️ المشروع غير موجود"))</f>
        <v/>
      </c>
      <c r="J480" t="str">
        <f t="shared" si="21"/>
        <v/>
      </c>
      <c r="O480" t="str">
        <f>IF(A480="","", SUMIFS(التحصيلات!$E:$E, التحصيلات!$I:$I, A480))</f>
        <v/>
      </c>
      <c r="P480" t="str">
        <f t="shared" si="22"/>
        <v/>
      </c>
      <c r="S480" t="str">
        <f>IF(A480="","", SUMIFS(جدول [2]الأقساط!$E:$E, جدول [2]الأقساط!$B:$B, A480))</f>
        <v/>
      </c>
      <c r="T480" t="str">
        <f t="shared" si="23"/>
        <v/>
      </c>
    </row>
    <row r="481" spans="3:20" x14ac:dyDescent="0.25">
      <c r="C481" t="str">
        <f>IF(B481="","",IFERROR(VLOOKUP(B481,المشاريع!$A:$B,2,FALSE),"⚠️ المشروع غير موجود"))</f>
        <v/>
      </c>
      <c r="J481" t="str">
        <f t="shared" si="21"/>
        <v/>
      </c>
      <c r="O481" t="str">
        <f>IF(A481="","", SUMIFS(التحصيلات!$E:$E, التحصيلات!$I:$I, A481))</f>
        <v/>
      </c>
      <c r="P481" t="str">
        <f t="shared" si="22"/>
        <v/>
      </c>
      <c r="S481" t="str">
        <f>IF(A481="","", SUMIFS(جدول [2]الأقساط!$E:$E, جدول [2]الأقساط!$B:$B, A481))</f>
        <v/>
      </c>
      <c r="T481" t="str">
        <f t="shared" si="23"/>
        <v/>
      </c>
    </row>
    <row r="482" spans="3:20" x14ac:dyDescent="0.25">
      <c r="C482" t="str">
        <f>IF(B482="","",IFERROR(VLOOKUP(B482,المشاريع!$A:$B,2,FALSE),"⚠️ المشروع غير موجود"))</f>
        <v/>
      </c>
      <c r="J482" t="str">
        <f t="shared" si="21"/>
        <v/>
      </c>
      <c r="O482" t="str">
        <f>IF(A482="","", SUMIFS(التحصيلات!$E:$E, التحصيلات!$I:$I, A482))</f>
        <v/>
      </c>
      <c r="P482" t="str">
        <f t="shared" si="22"/>
        <v/>
      </c>
      <c r="S482" t="str">
        <f>IF(A482="","", SUMIFS(جدول [2]الأقساط!$E:$E, جدول [2]الأقساط!$B:$B, A482))</f>
        <v/>
      </c>
      <c r="T482" t="str">
        <f t="shared" si="23"/>
        <v/>
      </c>
    </row>
    <row r="483" spans="3:20" x14ac:dyDescent="0.25">
      <c r="C483" t="str">
        <f>IF(B483="","",IFERROR(VLOOKUP(B483,المشاريع!$A:$B,2,FALSE),"⚠️ المشروع غير موجود"))</f>
        <v/>
      </c>
      <c r="J483" t="str">
        <f t="shared" si="21"/>
        <v/>
      </c>
      <c r="O483" t="str">
        <f>IF(A483="","", SUMIFS(التحصيلات!$E:$E, التحصيلات!$I:$I, A483))</f>
        <v/>
      </c>
      <c r="P483" t="str">
        <f t="shared" si="22"/>
        <v/>
      </c>
      <c r="S483" t="str">
        <f>IF(A483="","", SUMIFS(جدول [2]الأقساط!$E:$E, جدول [2]الأقساط!$B:$B, A483))</f>
        <v/>
      </c>
      <c r="T483" t="str">
        <f t="shared" si="23"/>
        <v/>
      </c>
    </row>
    <row r="484" spans="3:20" x14ac:dyDescent="0.25">
      <c r="C484" t="str">
        <f>IF(B484="","",IFERROR(VLOOKUP(B484,المشاريع!$A:$B,2,FALSE),"⚠️ المشروع غير موجود"))</f>
        <v/>
      </c>
      <c r="J484" t="str">
        <f t="shared" si="21"/>
        <v/>
      </c>
      <c r="O484" t="str">
        <f>IF(A484="","", SUMIFS(التحصيلات!$E:$E, التحصيلات!$I:$I, A484))</f>
        <v/>
      </c>
      <c r="P484" t="str">
        <f t="shared" si="22"/>
        <v/>
      </c>
      <c r="S484" t="str">
        <f>IF(A484="","", SUMIFS(جدول [2]الأقساط!$E:$E, جدول [2]الأقساط!$B:$B, A484))</f>
        <v/>
      </c>
      <c r="T484" t="str">
        <f t="shared" si="23"/>
        <v/>
      </c>
    </row>
    <row r="485" spans="3:20" x14ac:dyDescent="0.25">
      <c r="C485" t="str">
        <f>IF(B485="","",IFERROR(VLOOKUP(B485,المشاريع!$A:$B,2,FALSE),"⚠️ المشروع غير موجود"))</f>
        <v/>
      </c>
      <c r="J485" t="str">
        <f t="shared" si="21"/>
        <v/>
      </c>
      <c r="O485" t="str">
        <f>IF(A485="","", SUMIFS(التحصيلات!$E:$E, التحصيلات!$I:$I, A485))</f>
        <v/>
      </c>
      <c r="P485" t="str">
        <f t="shared" si="22"/>
        <v/>
      </c>
      <c r="S485" t="str">
        <f>IF(A485="","", SUMIFS(جدول [2]الأقساط!$E:$E, جدول [2]الأقساط!$B:$B, A485))</f>
        <v/>
      </c>
      <c r="T485" t="str">
        <f t="shared" si="23"/>
        <v/>
      </c>
    </row>
    <row r="486" spans="3:20" x14ac:dyDescent="0.25">
      <c r="C486" t="str">
        <f>IF(B486="","",IFERROR(VLOOKUP(B486,المشاريع!$A:$B,2,FALSE),"⚠️ المشروع غير موجود"))</f>
        <v/>
      </c>
      <c r="J486" t="str">
        <f t="shared" si="21"/>
        <v/>
      </c>
      <c r="O486" t="str">
        <f>IF(A486="","", SUMIFS(التحصيلات!$E:$E, التحصيلات!$I:$I, A486))</f>
        <v/>
      </c>
      <c r="P486" t="str">
        <f t="shared" si="22"/>
        <v/>
      </c>
      <c r="S486" t="str">
        <f>IF(A486="","", SUMIFS(جدول [2]الأقساط!$E:$E, جدول [2]الأقساط!$B:$B, A486))</f>
        <v/>
      </c>
      <c r="T486" t="str">
        <f t="shared" si="23"/>
        <v/>
      </c>
    </row>
    <row r="487" spans="3:20" x14ac:dyDescent="0.25">
      <c r="C487" t="str">
        <f>IF(B487="","",IFERROR(VLOOKUP(B487,المشاريع!$A:$B,2,FALSE),"⚠️ المشروع غير موجود"))</f>
        <v/>
      </c>
      <c r="J487" t="str">
        <f t="shared" si="21"/>
        <v/>
      </c>
      <c r="O487" t="str">
        <f>IF(A487="","", SUMIFS(التحصيلات!$E:$E, التحصيلات!$I:$I, A487))</f>
        <v/>
      </c>
      <c r="P487" t="str">
        <f t="shared" si="22"/>
        <v/>
      </c>
      <c r="S487" t="str">
        <f>IF(A487="","", SUMIFS(جدول [2]الأقساط!$E:$E, جدول [2]الأقساط!$B:$B, A487))</f>
        <v/>
      </c>
      <c r="T487" t="str">
        <f t="shared" si="23"/>
        <v/>
      </c>
    </row>
    <row r="488" spans="3:20" x14ac:dyDescent="0.25">
      <c r="C488" t="str">
        <f>IF(B488="","",IFERROR(VLOOKUP(B488,المشاريع!$A:$B,2,FALSE),"⚠️ المشروع غير موجود"))</f>
        <v/>
      </c>
      <c r="J488" t="str">
        <f t="shared" si="21"/>
        <v/>
      </c>
      <c r="O488" t="str">
        <f>IF(A488="","", SUMIFS(التحصيلات!$E:$E, التحصيلات!$I:$I, A488))</f>
        <v/>
      </c>
      <c r="P488" t="str">
        <f t="shared" si="22"/>
        <v/>
      </c>
      <c r="S488" t="str">
        <f>IF(A488="","", SUMIFS(جدول [2]الأقساط!$E:$E, جدول [2]الأقساط!$B:$B, A488))</f>
        <v/>
      </c>
      <c r="T488" t="str">
        <f t="shared" si="23"/>
        <v/>
      </c>
    </row>
    <row r="489" spans="3:20" x14ac:dyDescent="0.25">
      <c r="C489" t="str">
        <f>IF(B489="","",IFERROR(VLOOKUP(B489,المشاريع!$A:$B,2,FALSE),"⚠️ المشروع غير موجود"))</f>
        <v/>
      </c>
      <c r="J489" t="str">
        <f t="shared" si="21"/>
        <v/>
      </c>
      <c r="O489" t="str">
        <f>IF(A489="","", SUMIFS(التحصيلات!$E:$E, التحصيلات!$I:$I, A489))</f>
        <v/>
      </c>
      <c r="P489" t="str">
        <f t="shared" si="22"/>
        <v/>
      </c>
      <c r="S489" t="str">
        <f>IF(A489="","", SUMIFS(جدول [2]الأقساط!$E:$E, جدول [2]الأقساط!$B:$B, A489))</f>
        <v/>
      </c>
      <c r="T489" t="str">
        <f t="shared" si="23"/>
        <v/>
      </c>
    </row>
    <row r="490" spans="3:20" x14ac:dyDescent="0.25">
      <c r="C490" t="str">
        <f>IF(B490="","",IFERROR(VLOOKUP(B490,المشاريع!$A:$B,2,FALSE),"⚠️ المشروع غير موجود"))</f>
        <v/>
      </c>
      <c r="J490" t="str">
        <f t="shared" si="21"/>
        <v/>
      </c>
      <c r="O490" t="str">
        <f>IF(A490="","", SUMIFS(التحصيلات!$E:$E, التحصيلات!$I:$I, A490))</f>
        <v/>
      </c>
      <c r="P490" t="str">
        <f t="shared" si="22"/>
        <v/>
      </c>
      <c r="S490" t="str">
        <f>IF(A490="","", SUMIFS(جدول [2]الأقساط!$E:$E, جدول [2]الأقساط!$B:$B, A490))</f>
        <v/>
      </c>
      <c r="T490" t="str">
        <f t="shared" si="23"/>
        <v/>
      </c>
    </row>
    <row r="491" spans="3:20" x14ac:dyDescent="0.25">
      <c r="C491" t="str">
        <f>IF(B491="","",IFERROR(VLOOKUP(B491,المشاريع!$A:$B,2,FALSE),"⚠️ المشروع غير موجود"))</f>
        <v/>
      </c>
      <c r="J491" t="str">
        <f t="shared" si="21"/>
        <v/>
      </c>
      <c r="O491" t="str">
        <f>IF(A491="","", SUMIFS(التحصيلات!$E:$E, التحصيلات!$I:$I, A491))</f>
        <v/>
      </c>
      <c r="P491" t="str">
        <f t="shared" si="22"/>
        <v/>
      </c>
      <c r="S491" t="str">
        <f>IF(A491="","", SUMIFS(جدول [2]الأقساط!$E:$E, جدول [2]الأقساط!$B:$B, A491))</f>
        <v/>
      </c>
      <c r="T491" t="str">
        <f t="shared" si="23"/>
        <v/>
      </c>
    </row>
    <row r="492" spans="3:20" x14ac:dyDescent="0.25">
      <c r="C492" t="str">
        <f>IF(B492="","",IFERROR(VLOOKUP(B492,المشاريع!$A:$B,2,FALSE),"⚠️ المشروع غير موجود"))</f>
        <v/>
      </c>
      <c r="J492" t="str">
        <f t="shared" si="21"/>
        <v/>
      </c>
      <c r="O492" t="str">
        <f>IF(A492="","", SUMIFS(التحصيلات!$E:$E, التحصيلات!$I:$I, A492))</f>
        <v/>
      </c>
      <c r="P492" t="str">
        <f t="shared" si="22"/>
        <v/>
      </c>
      <c r="S492" t="str">
        <f>IF(A492="","", SUMIFS(جدول [2]الأقساط!$E:$E, جدول [2]الأقساط!$B:$B, A492))</f>
        <v/>
      </c>
      <c r="T492" t="str">
        <f t="shared" si="23"/>
        <v/>
      </c>
    </row>
    <row r="493" spans="3:20" x14ac:dyDescent="0.25">
      <c r="C493" t="str">
        <f>IF(B493="","",IFERROR(VLOOKUP(B493,المشاريع!$A:$B,2,FALSE),"⚠️ المشروع غير موجود"))</f>
        <v/>
      </c>
      <c r="J493" t="str">
        <f t="shared" si="21"/>
        <v/>
      </c>
      <c r="O493" t="str">
        <f>IF(A493="","", SUMIFS(التحصيلات!$E:$E, التحصيلات!$I:$I, A493))</f>
        <v/>
      </c>
      <c r="P493" t="str">
        <f t="shared" si="22"/>
        <v/>
      </c>
      <c r="S493" t="str">
        <f>IF(A493="","", SUMIFS(جدول [2]الأقساط!$E:$E, جدول [2]الأقساط!$B:$B, A493))</f>
        <v/>
      </c>
      <c r="T493" t="str">
        <f t="shared" si="23"/>
        <v/>
      </c>
    </row>
    <row r="494" spans="3:20" x14ac:dyDescent="0.25">
      <c r="C494" t="str">
        <f>IF(B494="","",IFERROR(VLOOKUP(B494,المشاريع!$A:$B,2,FALSE),"⚠️ المشروع غير موجود"))</f>
        <v/>
      </c>
      <c r="J494" t="str">
        <f t="shared" si="21"/>
        <v/>
      </c>
      <c r="O494" t="str">
        <f>IF(A494="","", SUMIFS(التحصيلات!$E:$E, التحصيلات!$I:$I, A494))</f>
        <v/>
      </c>
      <c r="P494" t="str">
        <f t="shared" si="22"/>
        <v/>
      </c>
      <c r="S494" t="str">
        <f>IF(A494="","", SUMIFS(جدول [2]الأقساط!$E:$E, جدول [2]الأقساط!$B:$B, A494))</f>
        <v/>
      </c>
      <c r="T494" t="str">
        <f t="shared" si="23"/>
        <v/>
      </c>
    </row>
    <row r="495" spans="3:20" x14ac:dyDescent="0.25">
      <c r="C495" t="str">
        <f>IF(B495="","",IFERROR(VLOOKUP(B495,المشاريع!$A:$B,2,FALSE),"⚠️ المشروع غير موجود"))</f>
        <v/>
      </c>
      <c r="J495" t="str">
        <f t="shared" si="21"/>
        <v/>
      </c>
      <c r="O495" t="str">
        <f>IF(A495="","", SUMIFS(التحصيلات!$E:$E, التحصيلات!$I:$I, A495))</f>
        <v/>
      </c>
      <c r="P495" t="str">
        <f t="shared" si="22"/>
        <v/>
      </c>
      <c r="S495" t="str">
        <f>IF(A495="","", SUMIFS(جدول [2]الأقساط!$E:$E, جدول [2]الأقساط!$B:$B, A495))</f>
        <v/>
      </c>
      <c r="T495" t="str">
        <f t="shared" si="23"/>
        <v/>
      </c>
    </row>
    <row r="496" spans="3:20" x14ac:dyDescent="0.25">
      <c r="C496" t="str">
        <f>IF(B496="","",IFERROR(VLOOKUP(B496,المشاريع!$A:$B,2,FALSE),"⚠️ المشروع غير موجود"))</f>
        <v/>
      </c>
      <c r="J496" t="str">
        <f t="shared" si="21"/>
        <v/>
      </c>
      <c r="O496" t="str">
        <f>IF(A496="","", SUMIFS(التحصيلات!$E:$E, التحصيلات!$I:$I, A496))</f>
        <v/>
      </c>
      <c r="P496" t="str">
        <f t="shared" si="22"/>
        <v/>
      </c>
      <c r="S496" t="str">
        <f>IF(A496="","", SUMIFS(جدول [2]الأقساط!$E:$E, جدول [2]الأقساط!$B:$B, A496))</f>
        <v/>
      </c>
      <c r="T496" t="str">
        <f t="shared" si="23"/>
        <v/>
      </c>
    </row>
    <row r="497" spans="3:20" x14ac:dyDescent="0.25">
      <c r="C497" t="str">
        <f>IF(B497="","",IFERROR(VLOOKUP(B497,المشاريع!$A:$B,2,FALSE),"⚠️ المشروع غير موجود"))</f>
        <v/>
      </c>
      <c r="J497" t="str">
        <f t="shared" si="21"/>
        <v/>
      </c>
      <c r="O497" t="str">
        <f>IF(A497="","", SUMIFS(التحصيلات!$E:$E, التحصيلات!$I:$I, A497))</f>
        <v/>
      </c>
      <c r="P497" t="str">
        <f t="shared" si="22"/>
        <v/>
      </c>
      <c r="S497" t="str">
        <f>IF(A497="","", SUMIFS(جدول [2]الأقساط!$E:$E, جدول [2]الأقساط!$B:$B, A497))</f>
        <v/>
      </c>
      <c r="T497" t="str">
        <f t="shared" si="23"/>
        <v/>
      </c>
    </row>
    <row r="498" spans="3:20" x14ac:dyDescent="0.25">
      <c r="C498" t="str">
        <f>IF(B498="","",IFERROR(VLOOKUP(B498,المشاريع!$A:$B,2,FALSE),"⚠️ المشروع غير موجود"))</f>
        <v/>
      </c>
      <c r="J498" t="str">
        <f t="shared" si="21"/>
        <v/>
      </c>
      <c r="O498" t="str">
        <f>IF(A498="","", SUMIFS(التحصيلات!$E:$E, التحصيلات!$I:$I, A498))</f>
        <v/>
      </c>
      <c r="P498" t="str">
        <f t="shared" si="22"/>
        <v/>
      </c>
      <c r="S498" t="str">
        <f>IF(A498="","", SUMIFS(جدول [2]الأقساط!$E:$E, جدول [2]الأقساط!$B:$B, A498))</f>
        <v/>
      </c>
      <c r="T498" t="str">
        <f t="shared" si="23"/>
        <v/>
      </c>
    </row>
    <row r="499" spans="3:20" x14ac:dyDescent="0.25">
      <c r="C499" t="str">
        <f>IF(B499="","",IFERROR(VLOOKUP(B499,المشاريع!$A:$B,2,FALSE),"⚠️ المشروع غير موجود"))</f>
        <v/>
      </c>
      <c r="J499" t="str">
        <f t="shared" si="21"/>
        <v/>
      </c>
      <c r="O499" t="str">
        <f>IF(A499="","", SUMIFS(التحصيلات!$E:$E, التحصيلات!$I:$I, A499))</f>
        <v/>
      </c>
      <c r="P499" t="str">
        <f t="shared" si="22"/>
        <v/>
      </c>
      <c r="S499" t="str">
        <f>IF(A499="","", SUMIFS(جدول [2]الأقساط!$E:$E, جدول [2]الأقساط!$B:$B, A499))</f>
        <v/>
      </c>
      <c r="T499" t="str">
        <f t="shared" si="23"/>
        <v/>
      </c>
    </row>
  </sheetData>
  <dataValidations count="1">
    <dataValidation type="list" sqref="H3:H1000">
      <formula1>"كاش,تقسيط,كاش + تقسيط,أخرى"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المشاريع!$A$3:$A$103</xm:f>
          </x14:formula1>
          <xm:sqref>B3:B1000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9"/>
  <sheetViews>
    <sheetView showGridLines="0" rightToLeft="1" topLeftCell="C1" workbookViewId="0">
      <pane ySplit="2" topLeftCell="A3" activePane="bottomLeft" state="frozen"/>
      <selection pane="bottomLeft" activeCell="D15" sqref="D15"/>
    </sheetView>
  </sheetViews>
  <sheetFormatPr defaultRowHeight="15" x14ac:dyDescent="0.25"/>
  <cols>
    <col min="1" max="10" width="18" customWidth="1"/>
  </cols>
  <sheetData>
    <row r="2" spans="1:10" x14ac:dyDescent="0.25">
      <c r="A2" s="7" t="s">
        <v>160</v>
      </c>
      <c r="B2" s="7" t="s">
        <v>142</v>
      </c>
      <c r="C2" s="7" t="s">
        <v>161</v>
      </c>
      <c r="D2" s="7" t="s">
        <v>162</v>
      </c>
      <c r="E2" s="7" t="s">
        <v>163</v>
      </c>
      <c r="F2" s="7" t="s">
        <v>164</v>
      </c>
      <c r="G2" s="7" t="s">
        <v>165</v>
      </c>
      <c r="H2" s="7" t="s">
        <v>166</v>
      </c>
      <c r="I2" s="7" t="s">
        <v>167</v>
      </c>
      <c r="J2" s="7" t="s">
        <v>32</v>
      </c>
    </row>
    <row r="3" spans="1:10" x14ac:dyDescent="0.25">
      <c r="C3" t="str">
        <f>IF(B3="","",IFERROR(INDEX(المبيعات!$C:$C,MATCH(B3,المبيعات!$A:$A,0)),""))</f>
        <v/>
      </c>
      <c r="F3" t="str">
        <f>IF(A3="","",SUMIFS(التحصيلات!$E:$E, التحصيلات!$J:$J, A3))</f>
        <v/>
      </c>
      <c r="G3" t="str">
        <f t="shared" ref="G3:G66" si="0">IF(A3="","", E3 - F3)</f>
        <v/>
      </c>
      <c r="H3" t="str">
        <f t="shared" ref="H3:H66" ca="1" si="1">IF(A3="","",IF(ROUND(G3,2)&lt;=0,"مدفوع",IF(ROUND(F3,2)&gt;0,"مدفوع جزئياً",IF(AND(D3&lt;&gt;"",D3&lt;TODAY()),"متأخر","مستحق"))))</f>
        <v/>
      </c>
    </row>
    <row r="4" spans="1:10" x14ac:dyDescent="0.25">
      <c r="C4" t="str">
        <f>IF(B4="","",IFERROR(INDEX(المبيعات!$C:$C,MATCH(B4,المبيعات!$A:$A,0)),""))</f>
        <v/>
      </c>
      <c r="F4" t="str">
        <f>IF(A4="","",SUMIFS(التحصيلات!$E:$E, التحصيلات!$J:$J, A4))</f>
        <v/>
      </c>
      <c r="G4" t="str">
        <f t="shared" si="0"/>
        <v/>
      </c>
      <c r="H4" t="str">
        <f t="shared" ca="1" si="1"/>
        <v/>
      </c>
    </row>
    <row r="5" spans="1:10" x14ac:dyDescent="0.25">
      <c r="C5" t="str">
        <f>IF(B5="","",IFERROR(INDEX(المبيعات!$C:$C,MATCH(B5,المبيعات!$A:$A,0)),""))</f>
        <v/>
      </c>
      <c r="F5" t="str">
        <f>IF(A5="","",SUMIFS(التحصيلات!$E:$E, التحصيلات!$J:$J, A5))</f>
        <v/>
      </c>
      <c r="G5" t="str">
        <f t="shared" si="0"/>
        <v/>
      </c>
      <c r="H5" t="str">
        <f t="shared" ca="1" si="1"/>
        <v/>
      </c>
    </row>
    <row r="6" spans="1:10" x14ac:dyDescent="0.25">
      <c r="C6" t="str">
        <f>IF(B6="","",IFERROR(INDEX(المبيعات!$C:$C,MATCH(B6,المبيعات!$A:$A,0)),""))</f>
        <v/>
      </c>
      <c r="F6" t="str">
        <f>IF(A6="","",SUMIFS(التحصيلات!$E:$E, التحصيلات!$J:$J, A6))</f>
        <v/>
      </c>
      <c r="G6" t="str">
        <f t="shared" si="0"/>
        <v/>
      </c>
      <c r="H6" t="str">
        <f t="shared" ca="1" si="1"/>
        <v/>
      </c>
    </row>
    <row r="7" spans="1:10" x14ac:dyDescent="0.25">
      <c r="C7" t="str">
        <f>IF(B7="","",IFERROR(INDEX(المبيعات!$C:$C,MATCH(B7,المبيعات!$A:$A,0)),""))</f>
        <v/>
      </c>
      <c r="F7" t="str">
        <f>IF(A7="","",SUMIFS(التحصيلات!$E:$E, التحصيلات!$J:$J, A7))</f>
        <v/>
      </c>
      <c r="G7" t="str">
        <f t="shared" si="0"/>
        <v/>
      </c>
      <c r="H7" t="str">
        <f t="shared" ca="1" si="1"/>
        <v/>
      </c>
    </row>
    <row r="8" spans="1:10" x14ac:dyDescent="0.25">
      <c r="C8" t="str">
        <f>IF(B8="","",IFERROR(INDEX(المبيعات!$C:$C,MATCH(B8,المبيعات!$A:$A,0)),""))</f>
        <v/>
      </c>
      <c r="F8" t="str">
        <f>IF(A8="","",SUMIFS(التحصيلات!$E:$E, التحصيلات!$J:$J, A8))</f>
        <v/>
      </c>
      <c r="G8" t="str">
        <f t="shared" si="0"/>
        <v/>
      </c>
      <c r="H8" t="str">
        <f t="shared" ca="1" si="1"/>
        <v/>
      </c>
    </row>
    <row r="9" spans="1:10" x14ac:dyDescent="0.25">
      <c r="C9" t="str">
        <f>IF(B9="","",IFERROR(INDEX(المبيعات!$C:$C,MATCH(B9,المبيعات!$A:$A,0)),""))</f>
        <v/>
      </c>
      <c r="F9" t="str">
        <f>IF(A9="","",SUMIFS(التحصيلات!$E:$E, التحصيلات!$J:$J, A9))</f>
        <v/>
      </c>
      <c r="G9" t="str">
        <f t="shared" si="0"/>
        <v/>
      </c>
      <c r="H9" t="str">
        <f t="shared" ca="1" si="1"/>
        <v/>
      </c>
    </row>
    <row r="10" spans="1:10" x14ac:dyDescent="0.25">
      <c r="C10" t="str">
        <f>IF(B10="","",IFERROR(INDEX(المبيعات!$C:$C,MATCH(B10,المبيعات!$A:$A,0)),""))</f>
        <v/>
      </c>
      <c r="F10" t="str">
        <f>IF(A10="","",SUMIFS(التحصيلات!$E:$E, التحصيلات!$J:$J, A10))</f>
        <v/>
      </c>
      <c r="G10" t="str">
        <f t="shared" si="0"/>
        <v/>
      </c>
      <c r="H10" t="str">
        <f t="shared" ca="1" si="1"/>
        <v/>
      </c>
    </row>
    <row r="11" spans="1:10" x14ac:dyDescent="0.25">
      <c r="C11" t="str">
        <f>IF(B11="","",IFERROR(INDEX(المبيعات!$C:$C,MATCH(B11,المبيعات!$A:$A,0)),""))</f>
        <v/>
      </c>
      <c r="F11" t="str">
        <f>IF(A11="","",SUMIFS(التحصيلات!$E:$E, التحصيلات!$J:$J, A11))</f>
        <v/>
      </c>
      <c r="G11" t="str">
        <f t="shared" si="0"/>
        <v/>
      </c>
      <c r="H11" t="str">
        <f t="shared" ca="1" si="1"/>
        <v/>
      </c>
    </row>
    <row r="12" spans="1:10" x14ac:dyDescent="0.25">
      <c r="C12" t="str">
        <f>IF(B12="","",IFERROR(INDEX(المبيعات!$C:$C,MATCH(B12,المبيعات!$A:$A,0)),""))</f>
        <v/>
      </c>
      <c r="F12" t="str">
        <f>IF(A12="","",SUMIFS(التحصيلات!$E:$E, التحصيلات!$J:$J, A12))</f>
        <v/>
      </c>
      <c r="G12" t="str">
        <f t="shared" si="0"/>
        <v/>
      </c>
      <c r="H12" t="str">
        <f t="shared" ca="1" si="1"/>
        <v/>
      </c>
    </row>
    <row r="13" spans="1:10" x14ac:dyDescent="0.25">
      <c r="C13" t="str">
        <f>IF(B13="","",IFERROR(INDEX(المبيعات!$C:$C,MATCH(B13,المبيعات!$A:$A,0)),""))</f>
        <v/>
      </c>
      <c r="F13" t="str">
        <f>IF(A13="","",SUMIFS(التحصيلات!$E:$E, التحصيلات!$J:$J, A13))</f>
        <v/>
      </c>
      <c r="G13" t="str">
        <f t="shared" si="0"/>
        <v/>
      </c>
      <c r="H13" t="str">
        <f t="shared" ca="1" si="1"/>
        <v/>
      </c>
    </row>
    <row r="14" spans="1:10" x14ac:dyDescent="0.25">
      <c r="C14" t="str">
        <f>IF(B14="","",IFERROR(INDEX(المبيعات!$C:$C,MATCH(B14,المبيعات!$A:$A,0)),""))</f>
        <v/>
      </c>
      <c r="F14" t="str">
        <f>IF(A14="","",SUMIFS(التحصيلات!$E:$E, التحصيلات!$J:$J, A14))</f>
        <v/>
      </c>
      <c r="G14" t="str">
        <f t="shared" si="0"/>
        <v/>
      </c>
      <c r="H14" t="str">
        <f t="shared" ca="1" si="1"/>
        <v/>
      </c>
    </row>
    <row r="15" spans="1:10" x14ac:dyDescent="0.25">
      <c r="C15" t="str">
        <f>IF(B15="","",IFERROR(INDEX(المبيعات!$C:$C,MATCH(B15,المبيعات!$A:$A,0)),""))</f>
        <v/>
      </c>
      <c r="F15" t="str">
        <f>IF(A15="","",SUMIFS(التحصيلات!$E:$E, التحصيلات!$J:$J, A15))</f>
        <v/>
      </c>
      <c r="G15" t="str">
        <f t="shared" si="0"/>
        <v/>
      </c>
      <c r="H15" t="str">
        <f t="shared" ca="1" si="1"/>
        <v/>
      </c>
    </row>
    <row r="16" spans="1:10" x14ac:dyDescent="0.25">
      <c r="C16" t="str">
        <f>IF(B16="","",IFERROR(INDEX(المبيعات!$C:$C,MATCH(B16,المبيعات!$A:$A,0)),""))</f>
        <v/>
      </c>
      <c r="F16" t="str">
        <f>IF(A16="","",SUMIFS(التحصيلات!$E:$E, التحصيلات!$J:$J, A16))</f>
        <v/>
      </c>
      <c r="G16" t="str">
        <f t="shared" si="0"/>
        <v/>
      </c>
      <c r="H16" t="str">
        <f t="shared" ca="1" si="1"/>
        <v/>
      </c>
    </row>
    <row r="17" spans="3:8" x14ac:dyDescent="0.25">
      <c r="C17" t="str">
        <f>IF(B17="","",IFERROR(INDEX(المبيعات!$C:$C,MATCH(B17,المبيعات!$A:$A,0)),""))</f>
        <v/>
      </c>
      <c r="F17" t="str">
        <f>IF(A17="","",SUMIFS(التحصيلات!$E:$E, التحصيلات!$J:$J, A17))</f>
        <v/>
      </c>
      <c r="G17" t="str">
        <f t="shared" si="0"/>
        <v/>
      </c>
      <c r="H17" t="str">
        <f t="shared" ca="1" si="1"/>
        <v/>
      </c>
    </row>
    <row r="18" spans="3:8" x14ac:dyDescent="0.25">
      <c r="C18" t="str">
        <f>IF(B18="","",IFERROR(INDEX(المبيعات!$C:$C,MATCH(B18,المبيعات!$A:$A,0)),""))</f>
        <v/>
      </c>
      <c r="F18" t="str">
        <f>IF(A18="","",SUMIFS(التحصيلات!$E:$E, التحصيلات!$J:$J, A18))</f>
        <v/>
      </c>
      <c r="G18" t="str">
        <f t="shared" si="0"/>
        <v/>
      </c>
      <c r="H18" t="str">
        <f t="shared" ca="1" si="1"/>
        <v/>
      </c>
    </row>
    <row r="19" spans="3:8" x14ac:dyDescent="0.25">
      <c r="C19" t="str">
        <f>IF(B19="","",IFERROR(INDEX(المبيعات!$C:$C,MATCH(B19,المبيعات!$A:$A,0)),""))</f>
        <v/>
      </c>
      <c r="F19" t="str">
        <f>IF(A19="","",SUMIFS(التحصيلات!$E:$E, التحصيلات!$J:$J, A19))</f>
        <v/>
      </c>
      <c r="G19" t="str">
        <f t="shared" si="0"/>
        <v/>
      </c>
      <c r="H19" t="str">
        <f t="shared" ca="1" si="1"/>
        <v/>
      </c>
    </row>
    <row r="20" spans="3:8" x14ac:dyDescent="0.25">
      <c r="C20" t="str">
        <f>IF(B20="","",IFERROR(INDEX(المبيعات!$C:$C,MATCH(B20,المبيعات!$A:$A,0)),""))</f>
        <v/>
      </c>
      <c r="F20" t="str">
        <f>IF(A20="","",SUMIFS(التحصيلات!$E:$E, التحصيلات!$J:$J, A20))</f>
        <v/>
      </c>
      <c r="G20" t="str">
        <f t="shared" si="0"/>
        <v/>
      </c>
      <c r="H20" t="str">
        <f t="shared" ca="1" si="1"/>
        <v/>
      </c>
    </row>
    <row r="21" spans="3:8" x14ac:dyDescent="0.25">
      <c r="C21" t="str">
        <f>IF(B21="","",IFERROR(INDEX(المبيعات!$C:$C,MATCH(B21,المبيعات!$A:$A,0)),""))</f>
        <v/>
      </c>
      <c r="F21" t="str">
        <f>IF(A21="","",SUMIFS(التحصيلات!$E:$E, التحصيلات!$J:$J, A21))</f>
        <v/>
      </c>
      <c r="G21" t="str">
        <f t="shared" si="0"/>
        <v/>
      </c>
      <c r="H21" t="str">
        <f t="shared" ca="1" si="1"/>
        <v/>
      </c>
    </row>
    <row r="22" spans="3:8" x14ac:dyDescent="0.25">
      <c r="C22" t="str">
        <f>IF(B22="","",IFERROR(INDEX(المبيعات!$C:$C,MATCH(B22,المبيعات!$A:$A,0)),""))</f>
        <v/>
      </c>
      <c r="F22" t="str">
        <f>IF(A22="","",SUMIFS(التحصيلات!$E:$E, التحصيلات!$J:$J, A22))</f>
        <v/>
      </c>
      <c r="G22" t="str">
        <f t="shared" si="0"/>
        <v/>
      </c>
      <c r="H22" t="str">
        <f t="shared" ca="1" si="1"/>
        <v/>
      </c>
    </row>
    <row r="23" spans="3:8" x14ac:dyDescent="0.25">
      <c r="C23" t="str">
        <f>IF(B23="","",IFERROR(INDEX(المبيعات!$C:$C,MATCH(B23,المبيعات!$A:$A,0)),""))</f>
        <v/>
      </c>
      <c r="F23" t="str">
        <f>IF(A23="","",SUMIFS(التحصيلات!$E:$E, التحصيلات!$J:$J, A23))</f>
        <v/>
      </c>
      <c r="G23" t="str">
        <f t="shared" si="0"/>
        <v/>
      </c>
      <c r="H23" t="str">
        <f t="shared" ca="1" si="1"/>
        <v/>
      </c>
    </row>
    <row r="24" spans="3:8" x14ac:dyDescent="0.25">
      <c r="C24" t="str">
        <f>IF(B24="","",IFERROR(INDEX(المبيعات!$C:$C,MATCH(B24,المبيعات!$A:$A,0)),""))</f>
        <v/>
      </c>
      <c r="F24" t="str">
        <f>IF(A24="","",SUMIFS(التحصيلات!$E:$E, التحصيلات!$J:$J, A24))</f>
        <v/>
      </c>
      <c r="G24" t="str">
        <f t="shared" si="0"/>
        <v/>
      </c>
      <c r="H24" t="str">
        <f t="shared" ca="1" si="1"/>
        <v/>
      </c>
    </row>
    <row r="25" spans="3:8" x14ac:dyDescent="0.25">
      <c r="C25" t="str">
        <f>IF(B25="","",IFERROR(INDEX(المبيعات!$C:$C,MATCH(B25,المبيعات!$A:$A,0)),""))</f>
        <v/>
      </c>
      <c r="F25" t="str">
        <f>IF(A25="","",SUMIFS(التحصيلات!$E:$E, التحصيلات!$J:$J, A25))</f>
        <v/>
      </c>
      <c r="G25" t="str">
        <f t="shared" si="0"/>
        <v/>
      </c>
      <c r="H25" t="str">
        <f t="shared" ca="1" si="1"/>
        <v/>
      </c>
    </row>
    <row r="26" spans="3:8" x14ac:dyDescent="0.25">
      <c r="C26" t="str">
        <f>IF(B26="","",IFERROR(INDEX(المبيعات!$C:$C,MATCH(B26,المبيعات!$A:$A,0)),""))</f>
        <v/>
      </c>
      <c r="F26" t="str">
        <f>IF(A26="","",SUMIFS(التحصيلات!$E:$E, التحصيلات!$J:$J, A26))</f>
        <v/>
      </c>
      <c r="G26" t="str">
        <f t="shared" si="0"/>
        <v/>
      </c>
      <c r="H26" t="str">
        <f t="shared" ca="1" si="1"/>
        <v/>
      </c>
    </row>
    <row r="27" spans="3:8" x14ac:dyDescent="0.25">
      <c r="C27" t="str">
        <f>IF(B27="","",IFERROR(INDEX(المبيعات!$C:$C,MATCH(B27,المبيعات!$A:$A,0)),""))</f>
        <v/>
      </c>
      <c r="F27" t="str">
        <f>IF(A27="","",SUMIFS(التحصيلات!$E:$E, التحصيلات!$J:$J, A27))</f>
        <v/>
      </c>
      <c r="G27" t="str">
        <f t="shared" si="0"/>
        <v/>
      </c>
      <c r="H27" t="str">
        <f t="shared" ca="1" si="1"/>
        <v/>
      </c>
    </row>
    <row r="28" spans="3:8" x14ac:dyDescent="0.25">
      <c r="C28" t="str">
        <f>IF(B28="","",IFERROR(INDEX(المبيعات!$C:$C,MATCH(B28,المبيعات!$A:$A,0)),""))</f>
        <v/>
      </c>
      <c r="F28" t="str">
        <f>IF(A28="","",SUMIFS(التحصيلات!$E:$E, التحصيلات!$J:$J, A28))</f>
        <v/>
      </c>
      <c r="G28" t="str">
        <f t="shared" si="0"/>
        <v/>
      </c>
      <c r="H28" t="str">
        <f t="shared" ca="1" si="1"/>
        <v/>
      </c>
    </row>
    <row r="29" spans="3:8" x14ac:dyDescent="0.25">
      <c r="C29" t="str">
        <f>IF(B29="","",IFERROR(INDEX(المبيعات!$C:$C,MATCH(B29,المبيعات!$A:$A,0)),""))</f>
        <v/>
      </c>
      <c r="F29" t="str">
        <f>IF(A29="","",SUMIFS(التحصيلات!$E:$E, التحصيلات!$J:$J, A29))</f>
        <v/>
      </c>
      <c r="G29" t="str">
        <f t="shared" si="0"/>
        <v/>
      </c>
      <c r="H29" t="str">
        <f t="shared" ca="1" si="1"/>
        <v/>
      </c>
    </row>
    <row r="30" spans="3:8" x14ac:dyDescent="0.25">
      <c r="C30" t="str">
        <f>IF(B30="","",IFERROR(INDEX(المبيعات!$C:$C,MATCH(B30,المبيعات!$A:$A,0)),""))</f>
        <v/>
      </c>
      <c r="F30" t="str">
        <f>IF(A30="","",SUMIFS(التحصيلات!$E:$E, التحصيلات!$J:$J, A30))</f>
        <v/>
      </c>
      <c r="G30" t="str">
        <f t="shared" si="0"/>
        <v/>
      </c>
      <c r="H30" t="str">
        <f t="shared" ca="1" si="1"/>
        <v/>
      </c>
    </row>
    <row r="31" spans="3:8" x14ac:dyDescent="0.25">
      <c r="C31" t="str">
        <f>IF(B31="","",IFERROR(INDEX(المبيعات!$C:$C,MATCH(B31,المبيعات!$A:$A,0)),""))</f>
        <v/>
      </c>
      <c r="F31" t="str">
        <f>IF(A31="","",SUMIFS(التحصيلات!$E:$E, التحصيلات!$J:$J, A31))</f>
        <v/>
      </c>
      <c r="G31" t="str">
        <f t="shared" si="0"/>
        <v/>
      </c>
      <c r="H31" t="str">
        <f t="shared" ca="1" si="1"/>
        <v/>
      </c>
    </row>
    <row r="32" spans="3:8" x14ac:dyDescent="0.25">
      <c r="C32" t="str">
        <f>IF(B32="","",IFERROR(INDEX(المبيعات!$C:$C,MATCH(B32,المبيعات!$A:$A,0)),""))</f>
        <v/>
      </c>
      <c r="F32" t="str">
        <f>IF(A32="","",SUMIFS(التحصيلات!$E:$E, التحصيلات!$J:$J, A32))</f>
        <v/>
      </c>
      <c r="G32" t="str">
        <f t="shared" si="0"/>
        <v/>
      </c>
      <c r="H32" t="str">
        <f t="shared" ca="1" si="1"/>
        <v/>
      </c>
    </row>
    <row r="33" spans="3:8" x14ac:dyDescent="0.25">
      <c r="C33" t="str">
        <f>IF(B33="","",IFERROR(INDEX(المبيعات!$C:$C,MATCH(B33,المبيعات!$A:$A,0)),""))</f>
        <v/>
      </c>
      <c r="F33" t="str">
        <f>IF(A33="","",SUMIFS(التحصيلات!$E:$E, التحصيلات!$J:$J, A33))</f>
        <v/>
      </c>
      <c r="G33" t="str">
        <f t="shared" si="0"/>
        <v/>
      </c>
      <c r="H33" t="str">
        <f t="shared" ca="1" si="1"/>
        <v/>
      </c>
    </row>
    <row r="34" spans="3:8" x14ac:dyDescent="0.25">
      <c r="C34" t="str">
        <f>IF(B34="","",IFERROR(INDEX(المبيعات!$C:$C,MATCH(B34,المبيعات!$A:$A,0)),""))</f>
        <v/>
      </c>
      <c r="F34" t="str">
        <f>IF(A34="","",SUMIFS(التحصيلات!$E:$E, التحصيلات!$J:$J, A34))</f>
        <v/>
      </c>
      <c r="G34" t="str">
        <f t="shared" si="0"/>
        <v/>
      </c>
      <c r="H34" t="str">
        <f t="shared" ca="1" si="1"/>
        <v/>
      </c>
    </row>
    <row r="35" spans="3:8" x14ac:dyDescent="0.25">
      <c r="C35" t="str">
        <f>IF(B35="","",IFERROR(INDEX(المبيعات!$C:$C,MATCH(B35,المبيعات!$A:$A,0)),""))</f>
        <v/>
      </c>
      <c r="F35" t="str">
        <f>IF(A35="","",SUMIFS(التحصيلات!$E:$E, التحصيلات!$J:$J, A35))</f>
        <v/>
      </c>
      <c r="G35" t="str">
        <f t="shared" si="0"/>
        <v/>
      </c>
      <c r="H35" t="str">
        <f t="shared" ca="1" si="1"/>
        <v/>
      </c>
    </row>
    <row r="36" spans="3:8" x14ac:dyDescent="0.25">
      <c r="C36" t="str">
        <f>IF(B36="","",IFERROR(INDEX(المبيعات!$C:$C,MATCH(B36,المبيعات!$A:$A,0)),""))</f>
        <v/>
      </c>
      <c r="F36" t="str">
        <f>IF(A36="","",SUMIFS(التحصيلات!$E:$E, التحصيلات!$J:$J, A36))</f>
        <v/>
      </c>
      <c r="G36" t="str">
        <f t="shared" si="0"/>
        <v/>
      </c>
      <c r="H36" t="str">
        <f t="shared" ca="1" si="1"/>
        <v/>
      </c>
    </row>
    <row r="37" spans="3:8" x14ac:dyDescent="0.25">
      <c r="C37" t="str">
        <f>IF(B37="","",IFERROR(INDEX(المبيعات!$C:$C,MATCH(B37,المبيعات!$A:$A,0)),""))</f>
        <v/>
      </c>
      <c r="F37" t="str">
        <f>IF(A37="","",SUMIFS(التحصيلات!$E:$E, التحصيلات!$J:$J, A37))</f>
        <v/>
      </c>
      <c r="G37" t="str">
        <f t="shared" si="0"/>
        <v/>
      </c>
      <c r="H37" t="str">
        <f t="shared" ca="1" si="1"/>
        <v/>
      </c>
    </row>
    <row r="38" spans="3:8" x14ac:dyDescent="0.25">
      <c r="C38" t="str">
        <f>IF(B38="","",IFERROR(INDEX(المبيعات!$C:$C,MATCH(B38,المبيعات!$A:$A,0)),""))</f>
        <v/>
      </c>
      <c r="F38" t="str">
        <f>IF(A38="","",SUMIFS(التحصيلات!$E:$E, التحصيلات!$J:$J, A38))</f>
        <v/>
      </c>
      <c r="G38" t="str">
        <f t="shared" si="0"/>
        <v/>
      </c>
      <c r="H38" t="str">
        <f t="shared" ca="1" si="1"/>
        <v/>
      </c>
    </row>
    <row r="39" spans="3:8" x14ac:dyDescent="0.25">
      <c r="C39" t="str">
        <f>IF(B39="","",IFERROR(INDEX(المبيعات!$C:$C,MATCH(B39,المبيعات!$A:$A,0)),""))</f>
        <v/>
      </c>
      <c r="F39" t="str">
        <f>IF(A39="","",SUMIFS(التحصيلات!$E:$E, التحصيلات!$J:$J, A39))</f>
        <v/>
      </c>
      <c r="G39" t="str">
        <f t="shared" si="0"/>
        <v/>
      </c>
      <c r="H39" t="str">
        <f t="shared" ca="1" si="1"/>
        <v/>
      </c>
    </row>
    <row r="40" spans="3:8" x14ac:dyDescent="0.25">
      <c r="C40" t="str">
        <f>IF(B40="","",IFERROR(INDEX(المبيعات!$C:$C,MATCH(B40,المبيعات!$A:$A,0)),""))</f>
        <v/>
      </c>
      <c r="F40" t="str">
        <f>IF(A40="","",SUMIFS(التحصيلات!$E:$E, التحصيلات!$J:$J, A40))</f>
        <v/>
      </c>
      <c r="G40" t="str">
        <f t="shared" si="0"/>
        <v/>
      </c>
      <c r="H40" t="str">
        <f t="shared" ca="1" si="1"/>
        <v/>
      </c>
    </row>
    <row r="41" spans="3:8" x14ac:dyDescent="0.25">
      <c r="C41" t="str">
        <f>IF(B41="","",IFERROR(INDEX(المبيعات!$C:$C,MATCH(B41,المبيعات!$A:$A,0)),""))</f>
        <v/>
      </c>
      <c r="F41" t="str">
        <f>IF(A41="","",SUMIFS(التحصيلات!$E:$E, التحصيلات!$J:$J, A41))</f>
        <v/>
      </c>
      <c r="G41" t="str">
        <f t="shared" si="0"/>
        <v/>
      </c>
      <c r="H41" t="str">
        <f t="shared" ca="1" si="1"/>
        <v/>
      </c>
    </row>
    <row r="42" spans="3:8" x14ac:dyDescent="0.25">
      <c r="C42" t="str">
        <f>IF(B42="","",IFERROR(INDEX(المبيعات!$C:$C,MATCH(B42,المبيعات!$A:$A,0)),""))</f>
        <v/>
      </c>
      <c r="F42" t="str">
        <f>IF(A42="","",SUMIFS(التحصيلات!$E:$E, التحصيلات!$J:$J, A42))</f>
        <v/>
      </c>
      <c r="G42" t="str">
        <f t="shared" si="0"/>
        <v/>
      </c>
      <c r="H42" t="str">
        <f t="shared" ca="1" si="1"/>
        <v/>
      </c>
    </row>
    <row r="43" spans="3:8" x14ac:dyDescent="0.25">
      <c r="C43" t="str">
        <f>IF(B43="","",IFERROR(INDEX(المبيعات!$C:$C,MATCH(B43,المبيعات!$A:$A,0)),""))</f>
        <v/>
      </c>
      <c r="F43" t="str">
        <f>IF(A43="","",SUMIFS(التحصيلات!$E:$E, التحصيلات!$J:$J, A43))</f>
        <v/>
      </c>
      <c r="G43" t="str">
        <f t="shared" si="0"/>
        <v/>
      </c>
      <c r="H43" t="str">
        <f t="shared" ca="1" si="1"/>
        <v/>
      </c>
    </row>
    <row r="44" spans="3:8" x14ac:dyDescent="0.25">
      <c r="C44" t="str">
        <f>IF(B44="","",IFERROR(INDEX(المبيعات!$C:$C,MATCH(B44,المبيعات!$A:$A,0)),""))</f>
        <v/>
      </c>
      <c r="F44" t="str">
        <f>IF(A44="","",SUMIFS(التحصيلات!$E:$E, التحصيلات!$J:$J, A44))</f>
        <v/>
      </c>
      <c r="G44" t="str">
        <f t="shared" si="0"/>
        <v/>
      </c>
      <c r="H44" t="str">
        <f t="shared" ca="1" si="1"/>
        <v/>
      </c>
    </row>
    <row r="45" spans="3:8" x14ac:dyDescent="0.25">
      <c r="C45" t="str">
        <f>IF(B45="","",IFERROR(INDEX(المبيعات!$C:$C,MATCH(B45,المبيعات!$A:$A,0)),""))</f>
        <v/>
      </c>
      <c r="F45" t="str">
        <f>IF(A45="","",SUMIFS(التحصيلات!$E:$E, التحصيلات!$J:$J, A45))</f>
        <v/>
      </c>
      <c r="G45" t="str">
        <f t="shared" si="0"/>
        <v/>
      </c>
      <c r="H45" t="str">
        <f t="shared" ca="1" si="1"/>
        <v/>
      </c>
    </row>
    <row r="46" spans="3:8" x14ac:dyDescent="0.25">
      <c r="C46" t="str">
        <f>IF(B46="","",IFERROR(INDEX(المبيعات!$C:$C,MATCH(B46,المبيعات!$A:$A,0)),""))</f>
        <v/>
      </c>
      <c r="F46" t="str">
        <f>IF(A46="","",SUMIFS(التحصيلات!$E:$E, التحصيلات!$J:$J, A46))</f>
        <v/>
      </c>
      <c r="G46" t="str">
        <f t="shared" si="0"/>
        <v/>
      </c>
      <c r="H46" t="str">
        <f t="shared" ca="1" si="1"/>
        <v/>
      </c>
    </row>
    <row r="47" spans="3:8" x14ac:dyDescent="0.25">
      <c r="C47" t="str">
        <f>IF(B47="","",IFERROR(INDEX(المبيعات!$C:$C,MATCH(B47,المبيعات!$A:$A,0)),""))</f>
        <v/>
      </c>
      <c r="F47" t="str">
        <f>IF(A47="","",SUMIFS(التحصيلات!$E:$E, التحصيلات!$J:$J, A47))</f>
        <v/>
      </c>
      <c r="G47" t="str">
        <f t="shared" si="0"/>
        <v/>
      </c>
      <c r="H47" t="str">
        <f t="shared" ca="1" si="1"/>
        <v/>
      </c>
    </row>
    <row r="48" spans="3:8" x14ac:dyDescent="0.25">
      <c r="C48" t="str">
        <f>IF(B48="","",IFERROR(INDEX(المبيعات!$C:$C,MATCH(B48,المبيعات!$A:$A,0)),""))</f>
        <v/>
      </c>
      <c r="F48" t="str">
        <f>IF(A48="","",SUMIFS(التحصيلات!$E:$E, التحصيلات!$J:$J, A48))</f>
        <v/>
      </c>
      <c r="G48" t="str">
        <f t="shared" si="0"/>
        <v/>
      </c>
      <c r="H48" t="str">
        <f t="shared" ca="1" si="1"/>
        <v/>
      </c>
    </row>
    <row r="49" spans="3:8" x14ac:dyDescent="0.25">
      <c r="C49" t="str">
        <f>IF(B49="","",IFERROR(INDEX(المبيعات!$C:$C,MATCH(B49,المبيعات!$A:$A,0)),""))</f>
        <v/>
      </c>
      <c r="F49" t="str">
        <f>IF(A49="","",SUMIFS(التحصيلات!$E:$E, التحصيلات!$J:$J, A49))</f>
        <v/>
      </c>
      <c r="G49" t="str">
        <f t="shared" si="0"/>
        <v/>
      </c>
      <c r="H49" t="str">
        <f t="shared" ca="1" si="1"/>
        <v/>
      </c>
    </row>
    <row r="50" spans="3:8" x14ac:dyDescent="0.25">
      <c r="C50" t="str">
        <f>IF(B50="","",IFERROR(INDEX(المبيعات!$C:$C,MATCH(B50,المبيعات!$A:$A,0)),""))</f>
        <v/>
      </c>
      <c r="F50" t="str">
        <f>IF(A50="","",SUMIFS(التحصيلات!$E:$E, التحصيلات!$J:$J, A50))</f>
        <v/>
      </c>
      <c r="G50" t="str">
        <f t="shared" si="0"/>
        <v/>
      </c>
      <c r="H50" t="str">
        <f t="shared" ca="1" si="1"/>
        <v/>
      </c>
    </row>
    <row r="51" spans="3:8" x14ac:dyDescent="0.25">
      <c r="C51" t="str">
        <f>IF(B51="","",IFERROR(INDEX(المبيعات!$C:$C,MATCH(B51,المبيعات!$A:$A,0)),""))</f>
        <v/>
      </c>
      <c r="F51" t="str">
        <f>IF(A51="","",SUMIFS(التحصيلات!$E:$E, التحصيلات!$J:$J, A51))</f>
        <v/>
      </c>
      <c r="G51" t="str">
        <f t="shared" si="0"/>
        <v/>
      </c>
      <c r="H51" t="str">
        <f t="shared" ca="1" si="1"/>
        <v/>
      </c>
    </row>
    <row r="52" spans="3:8" x14ac:dyDescent="0.25">
      <c r="C52" t="str">
        <f>IF(B52="","",IFERROR(INDEX(المبيعات!$C:$C,MATCH(B52,المبيعات!$A:$A,0)),""))</f>
        <v/>
      </c>
      <c r="F52" t="str">
        <f>IF(A52="","",SUMIFS(التحصيلات!$E:$E, التحصيلات!$J:$J, A52))</f>
        <v/>
      </c>
      <c r="G52" t="str">
        <f t="shared" si="0"/>
        <v/>
      </c>
      <c r="H52" t="str">
        <f t="shared" ca="1" si="1"/>
        <v/>
      </c>
    </row>
    <row r="53" spans="3:8" x14ac:dyDescent="0.25">
      <c r="C53" t="str">
        <f>IF(B53="","",IFERROR(INDEX(المبيعات!$C:$C,MATCH(B53,المبيعات!$A:$A,0)),""))</f>
        <v/>
      </c>
      <c r="F53" t="str">
        <f>IF(A53="","",SUMIFS(التحصيلات!$E:$E, التحصيلات!$J:$J, A53))</f>
        <v/>
      </c>
      <c r="G53" t="str">
        <f t="shared" si="0"/>
        <v/>
      </c>
      <c r="H53" t="str">
        <f t="shared" ca="1" si="1"/>
        <v/>
      </c>
    </row>
    <row r="54" spans="3:8" x14ac:dyDescent="0.25">
      <c r="C54" t="str">
        <f>IF(B54="","",IFERROR(INDEX(المبيعات!$C:$C,MATCH(B54,المبيعات!$A:$A,0)),""))</f>
        <v/>
      </c>
      <c r="F54" t="str">
        <f>IF(A54="","",SUMIFS(التحصيلات!$E:$E, التحصيلات!$J:$J, A54))</f>
        <v/>
      </c>
      <c r="G54" t="str">
        <f t="shared" si="0"/>
        <v/>
      </c>
      <c r="H54" t="str">
        <f t="shared" ca="1" si="1"/>
        <v/>
      </c>
    </row>
    <row r="55" spans="3:8" x14ac:dyDescent="0.25">
      <c r="C55" t="str">
        <f>IF(B55="","",IFERROR(INDEX(المبيعات!$C:$C,MATCH(B55,المبيعات!$A:$A,0)),""))</f>
        <v/>
      </c>
      <c r="F55" t="str">
        <f>IF(A55="","",SUMIFS(التحصيلات!$E:$E, التحصيلات!$J:$J, A55))</f>
        <v/>
      </c>
      <c r="G55" t="str">
        <f t="shared" si="0"/>
        <v/>
      </c>
      <c r="H55" t="str">
        <f t="shared" ca="1" si="1"/>
        <v/>
      </c>
    </row>
    <row r="56" spans="3:8" x14ac:dyDescent="0.25">
      <c r="C56" t="str">
        <f>IF(B56="","",IFERROR(INDEX(المبيعات!$C:$C,MATCH(B56,المبيعات!$A:$A,0)),""))</f>
        <v/>
      </c>
      <c r="F56" t="str">
        <f>IF(A56="","",SUMIFS(التحصيلات!$E:$E, التحصيلات!$J:$J, A56))</f>
        <v/>
      </c>
      <c r="G56" t="str">
        <f t="shared" si="0"/>
        <v/>
      </c>
      <c r="H56" t="str">
        <f t="shared" ca="1" si="1"/>
        <v/>
      </c>
    </row>
    <row r="57" spans="3:8" x14ac:dyDescent="0.25">
      <c r="C57" t="str">
        <f>IF(B57="","",IFERROR(INDEX(المبيعات!$C:$C,MATCH(B57,المبيعات!$A:$A,0)),""))</f>
        <v/>
      </c>
      <c r="F57" t="str">
        <f>IF(A57="","",SUMIFS(التحصيلات!$E:$E, التحصيلات!$J:$J, A57))</f>
        <v/>
      </c>
      <c r="G57" t="str">
        <f t="shared" si="0"/>
        <v/>
      </c>
      <c r="H57" t="str">
        <f t="shared" ca="1" si="1"/>
        <v/>
      </c>
    </row>
    <row r="58" spans="3:8" x14ac:dyDescent="0.25">
      <c r="C58" t="str">
        <f>IF(B58="","",IFERROR(INDEX(المبيعات!$C:$C,MATCH(B58,المبيعات!$A:$A,0)),""))</f>
        <v/>
      </c>
      <c r="F58" t="str">
        <f>IF(A58="","",SUMIFS(التحصيلات!$E:$E, التحصيلات!$J:$J, A58))</f>
        <v/>
      </c>
      <c r="G58" t="str">
        <f t="shared" si="0"/>
        <v/>
      </c>
      <c r="H58" t="str">
        <f t="shared" ca="1" si="1"/>
        <v/>
      </c>
    </row>
    <row r="59" spans="3:8" x14ac:dyDescent="0.25">
      <c r="C59" t="str">
        <f>IF(B59="","",IFERROR(INDEX(المبيعات!$C:$C,MATCH(B59,المبيعات!$A:$A,0)),""))</f>
        <v/>
      </c>
      <c r="F59" t="str">
        <f>IF(A59="","",SUMIFS(التحصيلات!$E:$E, التحصيلات!$J:$J, A59))</f>
        <v/>
      </c>
      <c r="G59" t="str">
        <f t="shared" si="0"/>
        <v/>
      </c>
      <c r="H59" t="str">
        <f t="shared" ca="1" si="1"/>
        <v/>
      </c>
    </row>
    <row r="60" spans="3:8" x14ac:dyDescent="0.25">
      <c r="C60" t="str">
        <f>IF(B60="","",IFERROR(INDEX(المبيعات!$C:$C,MATCH(B60,المبيعات!$A:$A,0)),""))</f>
        <v/>
      </c>
      <c r="F60" t="str">
        <f>IF(A60="","",SUMIFS(التحصيلات!$E:$E, التحصيلات!$J:$J, A60))</f>
        <v/>
      </c>
      <c r="G60" t="str">
        <f t="shared" si="0"/>
        <v/>
      </c>
      <c r="H60" t="str">
        <f t="shared" ca="1" si="1"/>
        <v/>
      </c>
    </row>
    <row r="61" spans="3:8" x14ac:dyDescent="0.25">
      <c r="C61" t="str">
        <f>IF(B61="","",IFERROR(INDEX(المبيعات!$C:$C,MATCH(B61,المبيعات!$A:$A,0)),""))</f>
        <v/>
      </c>
      <c r="F61" t="str">
        <f>IF(A61="","",SUMIFS(التحصيلات!$E:$E, التحصيلات!$J:$J, A61))</f>
        <v/>
      </c>
      <c r="G61" t="str">
        <f t="shared" si="0"/>
        <v/>
      </c>
      <c r="H61" t="str">
        <f t="shared" ca="1" si="1"/>
        <v/>
      </c>
    </row>
    <row r="62" spans="3:8" x14ac:dyDescent="0.25">
      <c r="C62" t="str">
        <f>IF(B62="","",IFERROR(INDEX(المبيعات!$C:$C,MATCH(B62,المبيعات!$A:$A,0)),""))</f>
        <v/>
      </c>
      <c r="F62" t="str">
        <f>IF(A62="","",SUMIFS(التحصيلات!$E:$E, التحصيلات!$J:$J, A62))</f>
        <v/>
      </c>
      <c r="G62" t="str">
        <f t="shared" si="0"/>
        <v/>
      </c>
      <c r="H62" t="str">
        <f t="shared" ca="1" si="1"/>
        <v/>
      </c>
    </row>
    <row r="63" spans="3:8" x14ac:dyDescent="0.25">
      <c r="C63" t="str">
        <f>IF(B63="","",IFERROR(INDEX(المبيعات!$C:$C,MATCH(B63,المبيعات!$A:$A,0)),""))</f>
        <v/>
      </c>
      <c r="F63" t="str">
        <f>IF(A63="","",SUMIFS(التحصيلات!$E:$E, التحصيلات!$J:$J, A63))</f>
        <v/>
      </c>
      <c r="G63" t="str">
        <f t="shared" si="0"/>
        <v/>
      </c>
      <c r="H63" t="str">
        <f t="shared" ca="1" si="1"/>
        <v/>
      </c>
    </row>
    <row r="64" spans="3:8" x14ac:dyDescent="0.25">
      <c r="C64" t="str">
        <f>IF(B64="","",IFERROR(INDEX(المبيعات!$C:$C,MATCH(B64,المبيعات!$A:$A,0)),""))</f>
        <v/>
      </c>
      <c r="F64" t="str">
        <f>IF(A64="","",SUMIFS(التحصيلات!$E:$E, التحصيلات!$J:$J, A64))</f>
        <v/>
      </c>
      <c r="G64" t="str">
        <f t="shared" si="0"/>
        <v/>
      </c>
      <c r="H64" t="str">
        <f t="shared" ca="1" si="1"/>
        <v/>
      </c>
    </row>
    <row r="65" spans="3:8" x14ac:dyDescent="0.25">
      <c r="C65" t="str">
        <f>IF(B65="","",IFERROR(INDEX(المبيعات!$C:$C,MATCH(B65,المبيعات!$A:$A,0)),""))</f>
        <v/>
      </c>
      <c r="F65" t="str">
        <f>IF(A65="","",SUMIFS(التحصيلات!$E:$E, التحصيلات!$J:$J, A65))</f>
        <v/>
      </c>
      <c r="G65" t="str">
        <f t="shared" si="0"/>
        <v/>
      </c>
      <c r="H65" t="str">
        <f t="shared" ca="1" si="1"/>
        <v/>
      </c>
    </row>
    <row r="66" spans="3:8" x14ac:dyDescent="0.25">
      <c r="C66" t="str">
        <f>IF(B66="","",IFERROR(INDEX(المبيعات!$C:$C,MATCH(B66,المبيعات!$A:$A,0)),""))</f>
        <v/>
      </c>
      <c r="F66" t="str">
        <f>IF(A66="","",SUMIFS(التحصيلات!$E:$E, التحصيلات!$J:$J, A66))</f>
        <v/>
      </c>
      <c r="G66" t="str">
        <f t="shared" si="0"/>
        <v/>
      </c>
      <c r="H66" t="str">
        <f t="shared" ca="1" si="1"/>
        <v/>
      </c>
    </row>
    <row r="67" spans="3:8" x14ac:dyDescent="0.25">
      <c r="C67" t="str">
        <f>IF(B67="","",IFERROR(INDEX(المبيعات!$C:$C,MATCH(B67,المبيعات!$A:$A,0)),""))</f>
        <v/>
      </c>
      <c r="F67" t="str">
        <f>IF(A67="","",SUMIFS(التحصيلات!$E:$E, التحصيلات!$J:$J, A67))</f>
        <v/>
      </c>
      <c r="G67" t="str">
        <f t="shared" ref="G67:G130" si="2">IF(A67="","", E67 - F67)</f>
        <v/>
      </c>
      <c r="H67" t="str">
        <f t="shared" ref="H67:H130" ca="1" si="3">IF(A67="","",IF(ROUND(G67,2)&lt;=0,"مدفوع",IF(ROUND(F67,2)&gt;0,"مدفوع جزئياً",IF(AND(D67&lt;&gt;"",D67&lt;TODAY()),"متأخر","مستحق"))))</f>
        <v/>
      </c>
    </row>
    <row r="68" spans="3:8" x14ac:dyDescent="0.25">
      <c r="C68" t="str">
        <f>IF(B68="","",IFERROR(INDEX(المبيعات!$C:$C,MATCH(B68,المبيعات!$A:$A,0)),""))</f>
        <v/>
      </c>
      <c r="F68" t="str">
        <f>IF(A68="","",SUMIFS(التحصيلات!$E:$E, التحصيلات!$J:$J, A68))</f>
        <v/>
      </c>
      <c r="G68" t="str">
        <f t="shared" si="2"/>
        <v/>
      </c>
      <c r="H68" t="str">
        <f t="shared" ca="1" si="3"/>
        <v/>
      </c>
    </row>
    <row r="69" spans="3:8" x14ac:dyDescent="0.25">
      <c r="C69" t="str">
        <f>IF(B69="","",IFERROR(INDEX(المبيعات!$C:$C,MATCH(B69,المبيعات!$A:$A,0)),""))</f>
        <v/>
      </c>
      <c r="F69" t="str">
        <f>IF(A69="","",SUMIFS(التحصيلات!$E:$E, التحصيلات!$J:$J, A69))</f>
        <v/>
      </c>
      <c r="G69" t="str">
        <f t="shared" si="2"/>
        <v/>
      </c>
      <c r="H69" t="str">
        <f t="shared" ca="1" si="3"/>
        <v/>
      </c>
    </row>
    <row r="70" spans="3:8" x14ac:dyDescent="0.25">
      <c r="C70" t="str">
        <f>IF(B70="","",IFERROR(INDEX(المبيعات!$C:$C,MATCH(B70,المبيعات!$A:$A,0)),""))</f>
        <v/>
      </c>
      <c r="F70" t="str">
        <f>IF(A70="","",SUMIFS(التحصيلات!$E:$E, التحصيلات!$J:$J, A70))</f>
        <v/>
      </c>
      <c r="G70" t="str">
        <f t="shared" si="2"/>
        <v/>
      </c>
      <c r="H70" t="str">
        <f t="shared" ca="1" si="3"/>
        <v/>
      </c>
    </row>
    <row r="71" spans="3:8" x14ac:dyDescent="0.25">
      <c r="C71" t="str">
        <f>IF(B71="","",IFERROR(INDEX(المبيعات!$C:$C,MATCH(B71,المبيعات!$A:$A,0)),""))</f>
        <v/>
      </c>
      <c r="F71" t="str">
        <f>IF(A71="","",SUMIFS(التحصيلات!$E:$E, التحصيلات!$J:$J, A71))</f>
        <v/>
      </c>
      <c r="G71" t="str">
        <f t="shared" si="2"/>
        <v/>
      </c>
      <c r="H71" t="str">
        <f t="shared" ca="1" si="3"/>
        <v/>
      </c>
    </row>
    <row r="72" spans="3:8" x14ac:dyDescent="0.25">
      <c r="C72" t="str">
        <f>IF(B72="","",IFERROR(INDEX(المبيعات!$C:$C,MATCH(B72,المبيعات!$A:$A,0)),""))</f>
        <v/>
      </c>
      <c r="F72" t="str">
        <f>IF(A72="","",SUMIFS(التحصيلات!$E:$E, التحصيلات!$J:$J, A72))</f>
        <v/>
      </c>
      <c r="G72" t="str">
        <f t="shared" si="2"/>
        <v/>
      </c>
      <c r="H72" t="str">
        <f t="shared" ca="1" si="3"/>
        <v/>
      </c>
    </row>
    <row r="73" spans="3:8" x14ac:dyDescent="0.25">
      <c r="C73" t="str">
        <f>IF(B73="","",IFERROR(INDEX(المبيعات!$C:$C,MATCH(B73,المبيعات!$A:$A,0)),""))</f>
        <v/>
      </c>
      <c r="F73" t="str">
        <f>IF(A73="","",SUMIFS(التحصيلات!$E:$E, التحصيلات!$J:$J, A73))</f>
        <v/>
      </c>
      <c r="G73" t="str">
        <f t="shared" si="2"/>
        <v/>
      </c>
      <c r="H73" t="str">
        <f t="shared" ca="1" si="3"/>
        <v/>
      </c>
    </row>
    <row r="74" spans="3:8" x14ac:dyDescent="0.25">
      <c r="C74" t="str">
        <f>IF(B74="","",IFERROR(INDEX(المبيعات!$C:$C,MATCH(B74,المبيعات!$A:$A,0)),""))</f>
        <v/>
      </c>
      <c r="F74" t="str">
        <f>IF(A74="","",SUMIFS(التحصيلات!$E:$E, التحصيلات!$J:$J, A74))</f>
        <v/>
      </c>
      <c r="G74" t="str">
        <f t="shared" si="2"/>
        <v/>
      </c>
      <c r="H74" t="str">
        <f t="shared" ca="1" si="3"/>
        <v/>
      </c>
    </row>
    <row r="75" spans="3:8" x14ac:dyDescent="0.25">
      <c r="C75" t="str">
        <f>IF(B75="","",IFERROR(INDEX(المبيعات!$C:$C,MATCH(B75,المبيعات!$A:$A,0)),""))</f>
        <v/>
      </c>
      <c r="F75" t="str">
        <f>IF(A75="","",SUMIFS(التحصيلات!$E:$E, التحصيلات!$J:$J, A75))</f>
        <v/>
      </c>
      <c r="G75" t="str">
        <f t="shared" si="2"/>
        <v/>
      </c>
      <c r="H75" t="str">
        <f t="shared" ca="1" si="3"/>
        <v/>
      </c>
    </row>
    <row r="76" spans="3:8" x14ac:dyDescent="0.25">
      <c r="C76" t="str">
        <f>IF(B76="","",IFERROR(INDEX(المبيعات!$C:$C,MATCH(B76,المبيعات!$A:$A,0)),""))</f>
        <v/>
      </c>
      <c r="F76" t="str">
        <f>IF(A76="","",SUMIFS(التحصيلات!$E:$E, التحصيلات!$J:$J, A76))</f>
        <v/>
      </c>
      <c r="G76" t="str">
        <f t="shared" si="2"/>
        <v/>
      </c>
      <c r="H76" t="str">
        <f t="shared" ca="1" si="3"/>
        <v/>
      </c>
    </row>
    <row r="77" spans="3:8" x14ac:dyDescent="0.25">
      <c r="C77" t="str">
        <f>IF(B77="","",IFERROR(INDEX(المبيعات!$C:$C,MATCH(B77,المبيعات!$A:$A,0)),""))</f>
        <v/>
      </c>
      <c r="F77" t="str">
        <f>IF(A77="","",SUMIFS(التحصيلات!$E:$E, التحصيلات!$J:$J, A77))</f>
        <v/>
      </c>
      <c r="G77" t="str">
        <f t="shared" si="2"/>
        <v/>
      </c>
      <c r="H77" t="str">
        <f t="shared" ca="1" si="3"/>
        <v/>
      </c>
    </row>
    <row r="78" spans="3:8" x14ac:dyDescent="0.25">
      <c r="C78" t="str">
        <f>IF(B78="","",IFERROR(INDEX(المبيعات!$C:$C,MATCH(B78,المبيعات!$A:$A,0)),""))</f>
        <v/>
      </c>
      <c r="F78" t="str">
        <f>IF(A78="","",SUMIFS(التحصيلات!$E:$E, التحصيلات!$J:$J, A78))</f>
        <v/>
      </c>
      <c r="G78" t="str">
        <f t="shared" si="2"/>
        <v/>
      </c>
      <c r="H78" t="str">
        <f t="shared" ca="1" si="3"/>
        <v/>
      </c>
    </row>
    <row r="79" spans="3:8" x14ac:dyDescent="0.25">
      <c r="C79" t="str">
        <f>IF(B79="","",IFERROR(INDEX(المبيعات!$C:$C,MATCH(B79,المبيعات!$A:$A,0)),""))</f>
        <v/>
      </c>
      <c r="F79" t="str">
        <f>IF(A79="","",SUMIFS(التحصيلات!$E:$E, التحصيلات!$J:$J, A79))</f>
        <v/>
      </c>
      <c r="G79" t="str">
        <f t="shared" si="2"/>
        <v/>
      </c>
      <c r="H79" t="str">
        <f t="shared" ca="1" si="3"/>
        <v/>
      </c>
    </row>
    <row r="80" spans="3:8" x14ac:dyDescent="0.25">
      <c r="C80" t="str">
        <f>IF(B80="","",IFERROR(INDEX(المبيعات!$C:$C,MATCH(B80,المبيعات!$A:$A,0)),""))</f>
        <v/>
      </c>
      <c r="F80" t="str">
        <f>IF(A80="","",SUMIFS(التحصيلات!$E:$E, التحصيلات!$J:$J, A80))</f>
        <v/>
      </c>
      <c r="G80" t="str">
        <f t="shared" si="2"/>
        <v/>
      </c>
      <c r="H80" t="str">
        <f t="shared" ca="1" si="3"/>
        <v/>
      </c>
    </row>
    <row r="81" spans="3:8" x14ac:dyDescent="0.25">
      <c r="C81" t="str">
        <f>IF(B81="","",IFERROR(INDEX(المبيعات!$C:$C,MATCH(B81,المبيعات!$A:$A,0)),""))</f>
        <v/>
      </c>
      <c r="F81" t="str">
        <f>IF(A81="","",SUMIFS(التحصيلات!$E:$E, التحصيلات!$J:$J, A81))</f>
        <v/>
      </c>
      <c r="G81" t="str">
        <f t="shared" si="2"/>
        <v/>
      </c>
      <c r="H81" t="str">
        <f t="shared" ca="1" si="3"/>
        <v/>
      </c>
    </row>
    <row r="82" spans="3:8" x14ac:dyDescent="0.25">
      <c r="C82" t="str">
        <f>IF(B82="","",IFERROR(INDEX(المبيعات!$C:$C,MATCH(B82,المبيعات!$A:$A,0)),""))</f>
        <v/>
      </c>
      <c r="F82" t="str">
        <f>IF(A82="","",SUMIFS(التحصيلات!$E:$E, التحصيلات!$J:$J, A82))</f>
        <v/>
      </c>
      <c r="G82" t="str">
        <f t="shared" si="2"/>
        <v/>
      </c>
      <c r="H82" t="str">
        <f t="shared" ca="1" si="3"/>
        <v/>
      </c>
    </row>
    <row r="83" spans="3:8" x14ac:dyDescent="0.25">
      <c r="C83" t="str">
        <f>IF(B83="","",IFERROR(INDEX(المبيعات!$C:$C,MATCH(B83,المبيعات!$A:$A,0)),""))</f>
        <v/>
      </c>
      <c r="F83" t="str">
        <f>IF(A83="","",SUMIFS(التحصيلات!$E:$E, التحصيلات!$J:$J, A83))</f>
        <v/>
      </c>
      <c r="G83" t="str">
        <f t="shared" si="2"/>
        <v/>
      </c>
      <c r="H83" t="str">
        <f t="shared" ca="1" si="3"/>
        <v/>
      </c>
    </row>
    <row r="84" spans="3:8" x14ac:dyDescent="0.25">
      <c r="C84" t="str">
        <f>IF(B84="","",IFERROR(INDEX(المبيعات!$C:$C,MATCH(B84,المبيعات!$A:$A,0)),""))</f>
        <v/>
      </c>
      <c r="F84" t="str">
        <f>IF(A84="","",SUMIFS(التحصيلات!$E:$E, التحصيلات!$J:$J, A84))</f>
        <v/>
      </c>
      <c r="G84" t="str">
        <f t="shared" si="2"/>
        <v/>
      </c>
      <c r="H84" t="str">
        <f t="shared" ca="1" si="3"/>
        <v/>
      </c>
    </row>
    <row r="85" spans="3:8" x14ac:dyDescent="0.25">
      <c r="C85" t="str">
        <f>IF(B85="","",IFERROR(INDEX(المبيعات!$C:$C,MATCH(B85,المبيعات!$A:$A,0)),""))</f>
        <v/>
      </c>
      <c r="F85" t="str">
        <f>IF(A85="","",SUMIFS(التحصيلات!$E:$E, التحصيلات!$J:$J, A85))</f>
        <v/>
      </c>
      <c r="G85" t="str">
        <f t="shared" si="2"/>
        <v/>
      </c>
      <c r="H85" t="str">
        <f t="shared" ca="1" si="3"/>
        <v/>
      </c>
    </row>
    <row r="86" spans="3:8" x14ac:dyDescent="0.25">
      <c r="C86" t="str">
        <f>IF(B86="","",IFERROR(INDEX(المبيعات!$C:$C,MATCH(B86,المبيعات!$A:$A,0)),""))</f>
        <v/>
      </c>
      <c r="F86" t="str">
        <f>IF(A86="","",SUMIFS(التحصيلات!$E:$E, التحصيلات!$J:$J, A86))</f>
        <v/>
      </c>
      <c r="G86" t="str">
        <f t="shared" si="2"/>
        <v/>
      </c>
      <c r="H86" t="str">
        <f t="shared" ca="1" si="3"/>
        <v/>
      </c>
    </row>
    <row r="87" spans="3:8" x14ac:dyDescent="0.25">
      <c r="C87" t="str">
        <f>IF(B87="","",IFERROR(INDEX(المبيعات!$C:$C,MATCH(B87,المبيعات!$A:$A,0)),""))</f>
        <v/>
      </c>
      <c r="F87" t="str">
        <f>IF(A87="","",SUMIFS(التحصيلات!$E:$E, التحصيلات!$J:$J, A87))</f>
        <v/>
      </c>
      <c r="G87" t="str">
        <f t="shared" si="2"/>
        <v/>
      </c>
      <c r="H87" t="str">
        <f t="shared" ca="1" si="3"/>
        <v/>
      </c>
    </row>
    <row r="88" spans="3:8" x14ac:dyDescent="0.25">
      <c r="C88" t="str">
        <f>IF(B88="","",IFERROR(INDEX(المبيعات!$C:$C,MATCH(B88,المبيعات!$A:$A,0)),""))</f>
        <v/>
      </c>
      <c r="F88" t="str">
        <f>IF(A88="","",SUMIFS(التحصيلات!$E:$E, التحصيلات!$J:$J, A88))</f>
        <v/>
      </c>
      <c r="G88" t="str">
        <f t="shared" si="2"/>
        <v/>
      </c>
      <c r="H88" t="str">
        <f t="shared" ca="1" si="3"/>
        <v/>
      </c>
    </row>
    <row r="89" spans="3:8" x14ac:dyDescent="0.25">
      <c r="C89" t="str">
        <f>IF(B89="","",IFERROR(INDEX(المبيعات!$C:$C,MATCH(B89,المبيعات!$A:$A,0)),""))</f>
        <v/>
      </c>
      <c r="F89" t="str">
        <f>IF(A89="","",SUMIFS(التحصيلات!$E:$E, التحصيلات!$J:$J, A89))</f>
        <v/>
      </c>
      <c r="G89" t="str">
        <f t="shared" si="2"/>
        <v/>
      </c>
      <c r="H89" t="str">
        <f t="shared" ca="1" si="3"/>
        <v/>
      </c>
    </row>
    <row r="90" spans="3:8" x14ac:dyDescent="0.25">
      <c r="C90" t="str">
        <f>IF(B90="","",IFERROR(INDEX(المبيعات!$C:$C,MATCH(B90,المبيعات!$A:$A,0)),""))</f>
        <v/>
      </c>
      <c r="F90" t="str">
        <f>IF(A90="","",SUMIFS(التحصيلات!$E:$E, التحصيلات!$J:$J, A90))</f>
        <v/>
      </c>
      <c r="G90" t="str">
        <f t="shared" si="2"/>
        <v/>
      </c>
      <c r="H90" t="str">
        <f t="shared" ca="1" si="3"/>
        <v/>
      </c>
    </row>
    <row r="91" spans="3:8" x14ac:dyDescent="0.25">
      <c r="C91" t="str">
        <f>IF(B91="","",IFERROR(INDEX(المبيعات!$C:$C,MATCH(B91,المبيعات!$A:$A,0)),""))</f>
        <v/>
      </c>
      <c r="F91" t="str">
        <f>IF(A91="","",SUMIFS(التحصيلات!$E:$E, التحصيلات!$J:$J, A91))</f>
        <v/>
      </c>
      <c r="G91" t="str">
        <f t="shared" si="2"/>
        <v/>
      </c>
      <c r="H91" t="str">
        <f t="shared" ca="1" si="3"/>
        <v/>
      </c>
    </row>
    <row r="92" spans="3:8" x14ac:dyDescent="0.25">
      <c r="C92" t="str">
        <f>IF(B92="","",IFERROR(INDEX(المبيعات!$C:$C,MATCH(B92,المبيعات!$A:$A,0)),""))</f>
        <v/>
      </c>
      <c r="F92" t="str">
        <f>IF(A92="","",SUMIFS(التحصيلات!$E:$E, التحصيلات!$J:$J, A92))</f>
        <v/>
      </c>
      <c r="G92" t="str">
        <f t="shared" si="2"/>
        <v/>
      </c>
      <c r="H92" t="str">
        <f t="shared" ca="1" si="3"/>
        <v/>
      </c>
    </row>
    <row r="93" spans="3:8" x14ac:dyDescent="0.25">
      <c r="C93" t="str">
        <f>IF(B93="","",IFERROR(INDEX(المبيعات!$C:$C,MATCH(B93,المبيعات!$A:$A,0)),""))</f>
        <v/>
      </c>
      <c r="F93" t="str">
        <f>IF(A93="","",SUMIFS(التحصيلات!$E:$E, التحصيلات!$J:$J, A93))</f>
        <v/>
      </c>
      <c r="G93" t="str">
        <f t="shared" si="2"/>
        <v/>
      </c>
      <c r="H93" t="str">
        <f t="shared" ca="1" si="3"/>
        <v/>
      </c>
    </row>
    <row r="94" spans="3:8" x14ac:dyDescent="0.25">
      <c r="C94" t="str">
        <f>IF(B94="","",IFERROR(INDEX(المبيعات!$C:$C,MATCH(B94,المبيعات!$A:$A,0)),""))</f>
        <v/>
      </c>
      <c r="F94" t="str">
        <f>IF(A94="","",SUMIFS(التحصيلات!$E:$E, التحصيلات!$J:$J, A94))</f>
        <v/>
      </c>
      <c r="G94" t="str">
        <f t="shared" si="2"/>
        <v/>
      </c>
      <c r="H94" t="str">
        <f t="shared" ca="1" si="3"/>
        <v/>
      </c>
    </row>
    <row r="95" spans="3:8" x14ac:dyDescent="0.25">
      <c r="C95" t="str">
        <f>IF(B95="","",IFERROR(INDEX(المبيعات!$C:$C,MATCH(B95,المبيعات!$A:$A,0)),""))</f>
        <v/>
      </c>
      <c r="F95" t="str">
        <f>IF(A95="","",SUMIFS(التحصيلات!$E:$E, التحصيلات!$J:$J, A95))</f>
        <v/>
      </c>
      <c r="G95" t="str">
        <f t="shared" si="2"/>
        <v/>
      </c>
      <c r="H95" t="str">
        <f t="shared" ca="1" si="3"/>
        <v/>
      </c>
    </row>
    <row r="96" spans="3:8" x14ac:dyDescent="0.25">
      <c r="C96" t="str">
        <f>IF(B96="","",IFERROR(INDEX(المبيعات!$C:$C,MATCH(B96,المبيعات!$A:$A,0)),""))</f>
        <v/>
      </c>
      <c r="F96" t="str">
        <f>IF(A96="","",SUMIFS(التحصيلات!$E:$E, التحصيلات!$J:$J, A96))</f>
        <v/>
      </c>
      <c r="G96" t="str">
        <f t="shared" si="2"/>
        <v/>
      </c>
      <c r="H96" t="str">
        <f t="shared" ca="1" si="3"/>
        <v/>
      </c>
    </row>
    <row r="97" spans="3:8" x14ac:dyDescent="0.25">
      <c r="C97" t="str">
        <f>IF(B97="","",IFERROR(INDEX(المبيعات!$C:$C,MATCH(B97,المبيعات!$A:$A,0)),""))</f>
        <v/>
      </c>
      <c r="F97" t="str">
        <f>IF(A97="","",SUMIFS(التحصيلات!$E:$E, التحصيلات!$J:$J, A97))</f>
        <v/>
      </c>
      <c r="G97" t="str">
        <f t="shared" si="2"/>
        <v/>
      </c>
      <c r="H97" t="str">
        <f t="shared" ca="1" si="3"/>
        <v/>
      </c>
    </row>
    <row r="98" spans="3:8" x14ac:dyDescent="0.25">
      <c r="C98" t="str">
        <f>IF(B98="","",IFERROR(INDEX(المبيعات!$C:$C,MATCH(B98,المبيعات!$A:$A,0)),""))</f>
        <v/>
      </c>
      <c r="F98" t="str">
        <f>IF(A98="","",SUMIFS(التحصيلات!$E:$E, التحصيلات!$J:$J, A98))</f>
        <v/>
      </c>
      <c r="G98" t="str">
        <f t="shared" si="2"/>
        <v/>
      </c>
      <c r="H98" t="str">
        <f t="shared" ca="1" si="3"/>
        <v/>
      </c>
    </row>
    <row r="99" spans="3:8" x14ac:dyDescent="0.25">
      <c r="C99" t="str">
        <f>IF(B99="","",IFERROR(INDEX(المبيعات!$C:$C,MATCH(B99,المبيعات!$A:$A,0)),""))</f>
        <v/>
      </c>
      <c r="F99" t="str">
        <f>IF(A99="","",SUMIFS(التحصيلات!$E:$E, التحصيلات!$J:$J, A99))</f>
        <v/>
      </c>
      <c r="G99" t="str">
        <f t="shared" si="2"/>
        <v/>
      </c>
      <c r="H99" t="str">
        <f t="shared" ca="1" si="3"/>
        <v/>
      </c>
    </row>
    <row r="100" spans="3:8" x14ac:dyDescent="0.25">
      <c r="C100" t="str">
        <f>IF(B100="","",IFERROR(INDEX(المبيعات!$C:$C,MATCH(B100,المبيعات!$A:$A,0)),""))</f>
        <v/>
      </c>
      <c r="F100" t="str">
        <f>IF(A100="","",SUMIFS(التحصيلات!$E:$E, التحصيلات!$J:$J, A100))</f>
        <v/>
      </c>
      <c r="G100" t="str">
        <f t="shared" si="2"/>
        <v/>
      </c>
      <c r="H100" t="str">
        <f t="shared" ca="1" si="3"/>
        <v/>
      </c>
    </row>
    <row r="101" spans="3:8" x14ac:dyDescent="0.25">
      <c r="C101" t="str">
        <f>IF(B101="","",IFERROR(INDEX(المبيعات!$C:$C,MATCH(B101,المبيعات!$A:$A,0)),""))</f>
        <v/>
      </c>
      <c r="F101" t="str">
        <f>IF(A101="","",SUMIFS(التحصيلات!$E:$E, التحصيلات!$J:$J, A101))</f>
        <v/>
      </c>
      <c r="G101" t="str">
        <f t="shared" si="2"/>
        <v/>
      </c>
      <c r="H101" t="str">
        <f t="shared" ca="1" si="3"/>
        <v/>
      </c>
    </row>
    <row r="102" spans="3:8" x14ac:dyDescent="0.25">
      <c r="C102" t="str">
        <f>IF(B102="","",IFERROR(INDEX(المبيعات!$C:$C,MATCH(B102,المبيعات!$A:$A,0)),""))</f>
        <v/>
      </c>
      <c r="F102" t="str">
        <f>IF(A102="","",SUMIFS(التحصيلات!$E:$E, التحصيلات!$J:$J, A102))</f>
        <v/>
      </c>
      <c r="G102" t="str">
        <f t="shared" si="2"/>
        <v/>
      </c>
      <c r="H102" t="str">
        <f t="shared" ca="1" si="3"/>
        <v/>
      </c>
    </row>
    <row r="103" spans="3:8" x14ac:dyDescent="0.25">
      <c r="C103" t="str">
        <f>IF(B103="","",IFERROR(INDEX(المبيعات!$C:$C,MATCH(B103,المبيعات!$A:$A,0)),""))</f>
        <v/>
      </c>
      <c r="F103" t="str">
        <f>IF(A103="","",SUMIFS(التحصيلات!$E:$E, التحصيلات!$J:$J, A103))</f>
        <v/>
      </c>
      <c r="G103" t="str">
        <f t="shared" si="2"/>
        <v/>
      </c>
      <c r="H103" t="str">
        <f t="shared" ca="1" si="3"/>
        <v/>
      </c>
    </row>
    <row r="104" spans="3:8" x14ac:dyDescent="0.25">
      <c r="C104" t="str">
        <f>IF(B104="","",IFERROR(INDEX(المبيعات!$C:$C,MATCH(B104,المبيعات!$A:$A,0)),""))</f>
        <v/>
      </c>
      <c r="F104" t="str">
        <f>IF(A104="","",SUMIFS(التحصيلات!$E:$E, التحصيلات!$J:$J, A104))</f>
        <v/>
      </c>
      <c r="G104" t="str">
        <f t="shared" si="2"/>
        <v/>
      </c>
      <c r="H104" t="str">
        <f t="shared" ca="1" si="3"/>
        <v/>
      </c>
    </row>
    <row r="105" spans="3:8" x14ac:dyDescent="0.25">
      <c r="C105" t="str">
        <f>IF(B105="","",IFERROR(INDEX(المبيعات!$C:$C,MATCH(B105,المبيعات!$A:$A,0)),""))</f>
        <v/>
      </c>
      <c r="F105" t="str">
        <f>IF(A105="","",SUMIFS(التحصيلات!$E:$E, التحصيلات!$J:$J, A105))</f>
        <v/>
      </c>
      <c r="G105" t="str">
        <f t="shared" si="2"/>
        <v/>
      </c>
      <c r="H105" t="str">
        <f t="shared" ca="1" si="3"/>
        <v/>
      </c>
    </row>
    <row r="106" spans="3:8" x14ac:dyDescent="0.25">
      <c r="C106" t="str">
        <f>IF(B106="","",IFERROR(INDEX(المبيعات!$C:$C,MATCH(B106,المبيعات!$A:$A,0)),""))</f>
        <v/>
      </c>
      <c r="F106" t="str">
        <f>IF(A106="","",SUMIFS(التحصيلات!$E:$E, التحصيلات!$J:$J, A106))</f>
        <v/>
      </c>
      <c r="G106" t="str">
        <f t="shared" si="2"/>
        <v/>
      </c>
      <c r="H106" t="str">
        <f t="shared" ca="1" si="3"/>
        <v/>
      </c>
    </row>
    <row r="107" spans="3:8" x14ac:dyDescent="0.25">
      <c r="C107" t="str">
        <f>IF(B107="","",IFERROR(INDEX(المبيعات!$C:$C,MATCH(B107,المبيعات!$A:$A,0)),""))</f>
        <v/>
      </c>
      <c r="F107" t="str">
        <f>IF(A107="","",SUMIFS(التحصيلات!$E:$E, التحصيلات!$J:$J, A107))</f>
        <v/>
      </c>
      <c r="G107" t="str">
        <f t="shared" si="2"/>
        <v/>
      </c>
      <c r="H107" t="str">
        <f t="shared" ca="1" si="3"/>
        <v/>
      </c>
    </row>
    <row r="108" spans="3:8" x14ac:dyDescent="0.25">
      <c r="C108" t="str">
        <f>IF(B108="","",IFERROR(INDEX(المبيعات!$C:$C,MATCH(B108,المبيعات!$A:$A,0)),""))</f>
        <v/>
      </c>
      <c r="F108" t="str">
        <f>IF(A108="","",SUMIFS(التحصيلات!$E:$E, التحصيلات!$J:$J, A108))</f>
        <v/>
      </c>
      <c r="G108" t="str">
        <f t="shared" si="2"/>
        <v/>
      </c>
      <c r="H108" t="str">
        <f t="shared" ca="1" si="3"/>
        <v/>
      </c>
    </row>
    <row r="109" spans="3:8" x14ac:dyDescent="0.25">
      <c r="C109" t="str">
        <f>IF(B109="","",IFERROR(INDEX(المبيعات!$C:$C,MATCH(B109,المبيعات!$A:$A,0)),""))</f>
        <v/>
      </c>
      <c r="F109" t="str">
        <f>IF(A109="","",SUMIFS(التحصيلات!$E:$E, التحصيلات!$J:$J, A109))</f>
        <v/>
      </c>
      <c r="G109" t="str">
        <f t="shared" si="2"/>
        <v/>
      </c>
      <c r="H109" t="str">
        <f t="shared" ca="1" si="3"/>
        <v/>
      </c>
    </row>
    <row r="110" spans="3:8" x14ac:dyDescent="0.25">
      <c r="C110" t="str">
        <f>IF(B110="","",IFERROR(INDEX(المبيعات!$C:$C,MATCH(B110,المبيعات!$A:$A,0)),""))</f>
        <v/>
      </c>
      <c r="F110" t="str">
        <f>IF(A110="","",SUMIFS(التحصيلات!$E:$E, التحصيلات!$J:$J, A110))</f>
        <v/>
      </c>
      <c r="G110" t="str">
        <f t="shared" si="2"/>
        <v/>
      </c>
      <c r="H110" t="str">
        <f t="shared" ca="1" si="3"/>
        <v/>
      </c>
    </row>
    <row r="111" spans="3:8" x14ac:dyDescent="0.25">
      <c r="C111" t="str">
        <f>IF(B111="","",IFERROR(INDEX(المبيعات!$C:$C,MATCH(B111,المبيعات!$A:$A,0)),""))</f>
        <v/>
      </c>
      <c r="F111" t="str">
        <f>IF(A111="","",SUMIFS(التحصيلات!$E:$E, التحصيلات!$J:$J, A111))</f>
        <v/>
      </c>
      <c r="G111" t="str">
        <f t="shared" si="2"/>
        <v/>
      </c>
      <c r="H111" t="str">
        <f t="shared" ca="1" si="3"/>
        <v/>
      </c>
    </row>
    <row r="112" spans="3:8" x14ac:dyDescent="0.25">
      <c r="C112" t="str">
        <f>IF(B112="","",IFERROR(INDEX(المبيعات!$C:$C,MATCH(B112,المبيعات!$A:$A,0)),""))</f>
        <v/>
      </c>
      <c r="F112" t="str">
        <f>IF(A112="","",SUMIFS(التحصيلات!$E:$E, التحصيلات!$J:$J, A112))</f>
        <v/>
      </c>
      <c r="G112" t="str">
        <f t="shared" si="2"/>
        <v/>
      </c>
      <c r="H112" t="str">
        <f t="shared" ca="1" si="3"/>
        <v/>
      </c>
    </row>
    <row r="113" spans="3:8" x14ac:dyDescent="0.25">
      <c r="C113" t="str">
        <f>IF(B113="","",IFERROR(INDEX(المبيعات!$C:$C,MATCH(B113,المبيعات!$A:$A,0)),""))</f>
        <v/>
      </c>
      <c r="F113" t="str">
        <f>IF(A113="","",SUMIFS(التحصيلات!$E:$E, التحصيلات!$J:$J, A113))</f>
        <v/>
      </c>
      <c r="G113" t="str">
        <f t="shared" si="2"/>
        <v/>
      </c>
      <c r="H113" t="str">
        <f t="shared" ca="1" si="3"/>
        <v/>
      </c>
    </row>
    <row r="114" spans="3:8" x14ac:dyDescent="0.25">
      <c r="C114" t="str">
        <f>IF(B114="","",IFERROR(INDEX(المبيعات!$C:$C,MATCH(B114,المبيعات!$A:$A,0)),""))</f>
        <v/>
      </c>
      <c r="F114" t="str">
        <f>IF(A114="","",SUMIFS(التحصيلات!$E:$E, التحصيلات!$J:$J, A114))</f>
        <v/>
      </c>
      <c r="G114" t="str">
        <f t="shared" si="2"/>
        <v/>
      </c>
      <c r="H114" t="str">
        <f t="shared" ca="1" si="3"/>
        <v/>
      </c>
    </row>
    <row r="115" spans="3:8" x14ac:dyDescent="0.25">
      <c r="C115" t="str">
        <f>IF(B115="","",IFERROR(INDEX(المبيعات!$C:$C,MATCH(B115,المبيعات!$A:$A,0)),""))</f>
        <v/>
      </c>
      <c r="F115" t="str">
        <f>IF(A115="","",SUMIFS(التحصيلات!$E:$E, التحصيلات!$J:$J, A115))</f>
        <v/>
      </c>
      <c r="G115" t="str">
        <f t="shared" si="2"/>
        <v/>
      </c>
      <c r="H115" t="str">
        <f t="shared" ca="1" si="3"/>
        <v/>
      </c>
    </row>
    <row r="116" spans="3:8" x14ac:dyDescent="0.25">
      <c r="C116" t="str">
        <f>IF(B116="","",IFERROR(INDEX(المبيعات!$C:$C,MATCH(B116,المبيعات!$A:$A,0)),""))</f>
        <v/>
      </c>
      <c r="F116" t="str">
        <f>IF(A116="","",SUMIFS(التحصيلات!$E:$E, التحصيلات!$J:$J, A116))</f>
        <v/>
      </c>
      <c r="G116" t="str">
        <f t="shared" si="2"/>
        <v/>
      </c>
      <c r="H116" t="str">
        <f t="shared" ca="1" si="3"/>
        <v/>
      </c>
    </row>
    <row r="117" spans="3:8" x14ac:dyDescent="0.25">
      <c r="C117" t="str">
        <f>IF(B117="","",IFERROR(INDEX(المبيعات!$C:$C,MATCH(B117,المبيعات!$A:$A,0)),""))</f>
        <v/>
      </c>
      <c r="F117" t="str">
        <f>IF(A117="","",SUMIFS(التحصيلات!$E:$E, التحصيلات!$J:$J, A117))</f>
        <v/>
      </c>
      <c r="G117" t="str">
        <f t="shared" si="2"/>
        <v/>
      </c>
      <c r="H117" t="str">
        <f t="shared" ca="1" si="3"/>
        <v/>
      </c>
    </row>
    <row r="118" spans="3:8" x14ac:dyDescent="0.25">
      <c r="C118" t="str">
        <f>IF(B118="","",IFERROR(INDEX(المبيعات!$C:$C,MATCH(B118,المبيعات!$A:$A,0)),""))</f>
        <v/>
      </c>
      <c r="F118" t="str">
        <f>IF(A118="","",SUMIFS(التحصيلات!$E:$E, التحصيلات!$J:$J, A118))</f>
        <v/>
      </c>
      <c r="G118" t="str">
        <f t="shared" si="2"/>
        <v/>
      </c>
      <c r="H118" t="str">
        <f t="shared" ca="1" si="3"/>
        <v/>
      </c>
    </row>
    <row r="119" spans="3:8" x14ac:dyDescent="0.25">
      <c r="C119" t="str">
        <f>IF(B119="","",IFERROR(INDEX(المبيعات!$C:$C,MATCH(B119,المبيعات!$A:$A,0)),""))</f>
        <v/>
      </c>
      <c r="F119" t="str">
        <f>IF(A119="","",SUMIFS(التحصيلات!$E:$E, التحصيلات!$J:$J, A119))</f>
        <v/>
      </c>
      <c r="G119" t="str">
        <f t="shared" si="2"/>
        <v/>
      </c>
      <c r="H119" t="str">
        <f t="shared" ca="1" si="3"/>
        <v/>
      </c>
    </row>
    <row r="120" spans="3:8" x14ac:dyDescent="0.25">
      <c r="C120" t="str">
        <f>IF(B120="","",IFERROR(INDEX(المبيعات!$C:$C,MATCH(B120,المبيعات!$A:$A,0)),""))</f>
        <v/>
      </c>
      <c r="F120" t="str">
        <f>IF(A120="","",SUMIFS(التحصيلات!$E:$E, التحصيلات!$J:$J, A120))</f>
        <v/>
      </c>
      <c r="G120" t="str">
        <f t="shared" si="2"/>
        <v/>
      </c>
      <c r="H120" t="str">
        <f t="shared" ca="1" si="3"/>
        <v/>
      </c>
    </row>
    <row r="121" spans="3:8" x14ac:dyDescent="0.25">
      <c r="C121" t="str">
        <f>IF(B121="","",IFERROR(INDEX(المبيعات!$C:$C,MATCH(B121,المبيعات!$A:$A,0)),""))</f>
        <v/>
      </c>
      <c r="F121" t="str">
        <f>IF(A121="","",SUMIFS(التحصيلات!$E:$E, التحصيلات!$J:$J, A121))</f>
        <v/>
      </c>
      <c r="G121" t="str">
        <f t="shared" si="2"/>
        <v/>
      </c>
      <c r="H121" t="str">
        <f t="shared" ca="1" si="3"/>
        <v/>
      </c>
    </row>
    <row r="122" spans="3:8" x14ac:dyDescent="0.25">
      <c r="C122" t="str">
        <f>IF(B122="","",IFERROR(INDEX(المبيعات!$C:$C,MATCH(B122,المبيعات!$A:$A,0)),""))</f>
        <v/>
      </c>
      <c r="F122" t="str">
        <f>IF(A122="","",SUMIFS(التحصيلات!$E:$E, التحصيلات!$J:$J, A122))</f>
        <v/>
      </c>
      <c r="G122" t="str">
        <f t="shared" si="2"/>
        <v/>
      </c>
      <c r="H122" t="str">
        <f t="shared" ca="1" si="3"/>
        <v/>
      </c>
    </row>
    <row r="123" spans="3:8" x14ac:dyDescent="0.25">
      <c r="C123" t="str">
        <f>IF(B123="","",IFERROR(INDEX(المبيعات!$C:$C,MATCH(B123,المبيعات!$A:$A,0)),""))</f>
        <v/>
      </c>
      <c r="F123" t="str">
        <f>IF(A123="","",SUMIFS(التحصيلات!$E:$E, التحصيلات!$J:$J, A123))</f>
        <v/>
      </c>
      <c r="G123" t="str">
        <f t="shared" si="2"/>
        <v/>
      </c>
      <c r="H123" t="str">
        <f t="shared" ca="1" si="3"/>
        <v/>
      </c>
    </row>
    <row r="124" spans="3:8" x14ac:dyDescent="0.25">
      <c r="C124" t="str">
        <f>IF(B124="","",IFERROR(INDEX(المبيعات!$C:$C,MATCH(B124,المبيعات!$A:$A,0)),""))</f>
        <v/>
      </c>
      <c r="F124" t="str">
        <f>IF(A124="","",SUMIFS(التحصيلات!$E:$E, التحصيلات!$J:$J, A124))</f>
        <v/>
      </c>
      <c r="G124" t="str">
        <f t="shared" si="2"/>
        <v/>
      </c>
      <c r="H124" t="str">
        <f t="shared" ca="1" si="3"/>
        <v/>
      </c>
    </row>
    <row r="125" spans="3:8" x14ac:dyDescent="0.25">
      <c r="C125" t="str">
        <f>IF(B125="","",IFERROR(INDEX(المبيعات!$C:$C,MATCH(B125,المبيعات!$A:$A,0)),""))</f>
        <v/>
      </c>
      <c r="F125" t="str">
        <f>IF(A125="","",SUMIFS(التحصيلات!$E:$E, التحصيلات!$J:$J, A125))</f>
        <v/>
      </c>
      <c r="G125" t="str">
        <f t="shared" si="2"/>
        <v/>
      </c>
      <c r="H125" t="str">
        <f t="shared" ca="1" si="3"/>
        <v/>
      </c>
    </row>
    <row r="126" spans="3:8" x14ac:dyDescent="0.25">
      <c r="C126" t="str">
        <f>IF(B126="","",IFERROR(INDEX(المبيعات!$C:$C,MATCH(B126,المبيعات!$A:$A,0)),""))</f>
        <v/>
      </c>
      <c r="F126" t="str">
        <f>IF(A126="","",SUMIFS(التحصيلات!$E:$E, التحصيلات!$J:$J, A126))</f>
        <v/>
      </c>
      <c r="G126" t="str">
        <f t="shared" si="2"/>
        <v/>
      </c>
      <c r="H126" t="str">
        <f t="shared" ca="1" si="3"/>
        <v/>
      </c>
    </row>
    <row r="127" spans="3:8" x14ac:dyDescent="0.25">
      <c r="C127" t="str">
        <f>IF(B127="","",IFERROR(INDEX(المبيعات!$C:$C,MATCH(B127,المبيعات!$A:$A,0)),""))</f>
        <v/>
      </c>
      <c r="F127" t="str">
        <f>IF(A127="","",SUMIFS(التحصيلات!$E:$E, التحصيلات!$J:$J, A127))</f>
        <v/>
      </c>
      <c r="G127" t="str">
        <f t="shared" si="2"/>
        <v/>
      </c>
      <c r="H127" t="str">
        <f t="shared" ca="1" si="3"/>
        <v/>
      </c>
    </row>
    <row r="128" spans="3:8" x14ac:dyDescent="0.25">
      <c r="C128" t="str">
        <f>IF(B128="","",IFERROR(INDEX(المبيعات!$C:$C,MATCH(B128,المبيعات!$A:$A,0)),""))</f>
        <v/>
      </c>
      <c r="F128" t="str">
        <f>IF(A128="","",SUMIFS(التحصيلات!$E:$E, التحصيلات!$J:$J, A128))</f>
        <v/>
      </c>
      <c r="G128" t="str">
        <f t="shared" si="2"/>
        <v/>
      </c>
      <c r="H128" t="str">
        <f t="shared" ca="1" si="3"/>
        <v/>
      </c>
    </row>
    <row r="129" spans="3:8" x14ac:dyDescent="0.25">
      <c r="C129" t="str">
        <f>IF(B129="","",IFERROR(INDEX(المبيعات!$C:$C,MATCH(B129,المبيعات!$A:$A,0)),""))</f>
        <v/>
      </c>
      <c r="F129" t="str">
        <f>IF(A129="","",SUMIFS(التحصيلات!$E:$E, التحصيلات!$J:$J, A129))</f>
        <v/>
      </c>
      <c r="G129" t="str">
        <f t="shared" si="2"/>
        <v/>
      </c>
      <c r="H129" t="str">
        <f t="shared" ca="1" si="3"/>
        <v/>
      </c>
    </row>
    <row r="130" spans="3:8" x14ac:dyDescent="0.25">
      <c r="C130" t="str">
        <f>IF(B130="","",IFERROR(INDEX(المبيعات!$C:$C,MATCH(B130,المبيعات!$A:$A,0)),""))</f>
        <v/>
      </c>
      <c r="F130" t="str">
        <f>IF(A130="","",SUMIFS(التحصيلات!$E:$E, التحصيلات!$J:$J, A130))</f>
        <v/>
      </c>
      <c r="G130" t="str">
        <f t="shared" si="2"/>
        <v/>
      </c>
      <c r="H130" t="str">
        <f t="shared" ca="1" si="3"/>
        <v/>
      </c>
    </row>
    <row r="131" spans="3:8" x14ac:dyDescent="0.25">
      <c r="C131" t="str">
        <f>IF(B131="","",IFERROR(INDEX(المبيعات!$C:$C,MATCH(B131,المبيعات!$A:$A,0)),""))</f>
        <v/>
      </c>
      <c r="F131" t="str">
        <f>IF(A131="","",SUMIFS(التحصيلات!$E:$E, التحصيلات!$J:$J, A131))</f>
        <v/>
      </c>
      <c r="G131" t="str">
        <f t="shared" ref="G131:G194" si="4">IF(A131="","", E131 - F131)</f>
        <v/>
      </c>
      <c r="H131" t="str">
        <f t="shared" ref="H131:H194" ca="1" si="5">IF(A131="","",IF(ROUND(G131,2)&lt;=0,"مدفوع",IF(ROUND(F131,2)&gt;0,"مدفوع جزئياً",IF(AND(D131&lt;&gt;"",D131&lt;TODAY()),"متأخر","مستحق"))))</f>
        <v/>
      </c>
    </row>
    <row r="132" spans="3:8" x14ac:dyDescent="0.25">
      <c r="C132" t="str">
        <f>IF(B132="","",IFERROR(INDEX(المبيعات!$C:$C,MATCH(B132,المبيعات!$A:$A,0)),""))</f>
        <v/>
      </c>
      <c r="F132" t="str">
        <f>IF(A132="","",SUMIFS(التحصيلات!$E:$E, التحصيلات!$J:$J, A132))</f>
        <v/>
      </c>
      <c r="G132" t="str">
        <f t="shared" si="4"/>
        <v/>
      </c>
      <c r="H132" t="str">
        <f t="shared" ca="1" si="5"/>
        <v/>
      </c>
    </row>
    <row r="133" spans="3:8" x14ac:dyDescent="0.25">
      <c r="C133" t="str">
        <f>IF(B133="","",IFERROR(INDEX(المبيعات!$C:$C,MATCH(B133,المبيعات!$A:$A,0)),""))</f>
        <v/>
      </c>
      <c r="F133" t="str">
        <f>IF(A133="","",SUMIFS(التحصيلات!$E:$E, التحصيلات!$J:$J, A133))</f>
        <v/>
      </c>
      <c r="G133" t="str">
        <f t="shared" si="4"/>
        <v/>
      </c>
      <c r="H133" t="str">
        <f t="shared" ca="1" si="5"/>
        <v/>
      </c>
    </row>
    <row r="134" spans="3:8" x14ac:dyDescent="0.25">
      <c r="C134" t="str">
        <f>IF(B134="","",IFERROR(INDEX(المبيعات!$C:$C,MATCH(B134,المبيعات!$A:$A,0)),""))</f>
        <v/>
      </c>
      <c r="F134" t="str">
        <f>IF(A134="","",SUMIFS(التحصيلات!$E:$E, التحصيلات!$J:$J, A134))</f>
        <v/>
      </c>
      <c r="G134" t="str">
        <f t="shared" si="4"/>
        <v/>
      </c>
      <c r="H134" t="str">
        <f t="shared" ca="1" si="5"/>
        <v/>
      </c>
    </row>
    <row r="135" spans="3:8" x14ac:dyDescent="0.25">
      <c r="C135" t="str">
        <f>IF(B135="","",IFERROR(INDEX(المبيعات!$C:$C,MATCH(B135,المبيعات!$A:$A,0)),""))</f>
        <v/>
      </c>
      <c r="F135" t="str">
        <f>IF(A135="","",SUMIFS(التحصيلات!$E:$E, التحصيلات!$J:$J, A135))</f>
        <v/>
      </c>
      <c r="G135" t="str">
        <f t="shared" si="4"/>
        <v/>
      </c>
      <c r="H135" t="str">
        <f t="shared" ca="1" si="5"/>
        <v/>
      </c>
    </row>
    <row r="136" spans="3:8" x14ac:dyDescent="0.25">
      <c r="C136" t="str">
        <f>IF(B136="","",IFERROR(INDEX(المبيعات!$C:$C,MATCH(B136,المبيعات!$A:$A,0)),""))</f>
        <v/>
      </c>
      <c r="F136" t="str">
        <f>IF(A136="","",SUMIFS(التحصيلات!$E:$E, التحصيلات!$J:$J, A136))</f>
        <v/>
      </c>
      <c r="G136" t="str">
        <f t="shared" si="4"/>
        <v/>
      </c>
      <c r="H136" t="str">
        <f t="shared" ca="1" si="5"/>
        <v/>
      </c>
    </row>
    <row r="137" spans="3:8" x14ac:dyDescent="0.25">
      <c r="C137" t="str">
        <f>IF(B137="","",IFERROR(INDEX(المبيعات!$C:$C,MATCH(B137,المبيعات!$A:$A,0)),""))</f>
        <v/>
      </c>
      <c r="F137" t="str">
        <f>IF(A137="","",SUMIFS(التحصيلات!$E:$E, التحصيلات!$J:$J, A137))</f>
        <v/>
      </c>
      <c r="G137" t="str">
        <f t="shared" si="4"/>
        <v/>
      </c>
      <c r="H137" t="str">
        <f t="shared" ca="1" si="5"/>
        <v/>
      </c>
    </row>
    <row r="138" spans="3:8" x14ac:dyDescent="0.25">
      <c r="C138" t="str">
        <f>IF(B138="","",IFERROR(INDEX(المبيعات!$C:$C,MATCH(B138,المبيعات!$A:$A,0)),""))</f>
        <v/>
      </c>
      <c r="F138" t="str">
        <f>IF(A138="","",SUMIFS(التحصيلات!$E:$E, التحصيلات!$J:$J, A138))</f>
        <v/>
      </c>
      <c r="G138" t="str">
        <f t="shared" si="4"/>
        <v/>
      </c>
      <c r="H138" t="str">
        <f t="shared" ca="1" si="5"/>
        <v/>
      </c>
    </row>
    <row r="139" spans="3:8" x14ac:dyDescent="0.25">
      <c r="C139" t="str">
        <f>IF(B139="","",IFERROR(INDEX(المبيعات!$C:$C,MATCH(B139,المبيعات!$A:$A,0)),""))</f>
        <v/>
      </c>
      <c r="F139" t="str">
        <f>IF(A139="","",SUMIFS(التحصيلات!$E:$E, التحصيلات!$J:$J, A139))</f>
        <v/>
      </c>
      <c r="G139" t="str">
        <f t="shared" si="4"/>
        <v/>
      </c>
      <c r="H139" t="str">
        <f t="shared" ca="1" si="5"/>
        <v/>
      </c>
    </row>
    <row r="140" spans="3:8" x14ac:dyDescent="0.25">
      <c r="C140" t="str">
        <f>IF(B140="","",IFERROR(INDEX(المبيعات!$C:$C,MATCH(B140,المبيعات!$A:$A,0)),""))</f>
        <v/>
      </c>
      <c r="F140" t="str">
        <f>IF(A140="","",SUMIFS(التحصيلات!$E:$E, التحصيلات!$J:$J, A140))</f>
        <v/>
      </c>
      <c r="G140" t="str">
        <f t="shared" si="4"/>
        <v/>
      </c>
      <c r="H140" t="str">
        <f t="shared" ca="1" si="5"/>
        <v/>
      </c>
    </row>
    <row r="141" spans="3:8" x14ac:dyDescent="0.25">
      <c r="C141" t="str">
        <f>IF(B141="","",IFERROR(INDEX(المبيعات!$C:$C,MATCH(B141,المبيعات!$A:$A,0)),""))</f>
        <v/>
      </c>
      <c r="F141" t="str">
        <f>IF(A141="","",SUMIFS(التحصيلات!$E:$E, التحصيلات!$J:$J, A141))</f>
        <v/>
      </c>
      <c r="G141" t="str">
        <f t="shared" si="4"/>
        <v/>
      </c>
      <c r="H141" t="str">
        <f t="shared" ca="1" si="5"/>
        <v/>
      </c>
    </row>
    <row r="142" spans="3:8" x14ac:dyDescent="0.25">
      <c r="C142" t="str">
        <f>IF(B142="","",IFERROR(INDEX(المبيعات!$C:$C,MATCH(B142,المبيعات!$A:$A,0)),""))</f>
        <v/>
      </c>
      <c r="F142" t="str">
        <f>IF(A142="","",SUMIFS(التحصيلات!$E:$E, التحصيلات!$J:$J, A142))</f>
        <v/>
      </c>
      <c r="G142" t="str">
        <f t="shared" si="4"/>
        <v/>
      </c>
      <c r="H142" t="str">
        <f t="shared" ca="1" si="5"/>
        <v/>
      </c>
    </row>
    <row r="143" spans="3:8" x14ac:dyDescent="0.25">
      <c r="C143" t="str">
        <f>IF(B143="","",IFERROR(INDEX(المبيعات!$C:$C,MATCH(B143,المبيعات!$A:$A,0)),""))</f>
        <v/>
      </c>
      <c r="F143" t="str">
        <f>IF(A143="","",SUMIFS(التحصيلات!$E:$E, التحصيلات!$J:$J, A143))</f>
        <v/>
      </c>
      <c r="G143" t="str">
        <f t="shared" si="4"/>
        <v/>
      </c>
      <c r="H143" t="str">
        <f t="shared" ca="1" si="5"/>
        <v/>
      </c>
    </row>
    <row r="144" spans="3:8" x14ac:dyDescent="0.25">
      <c r="C144" t="str">
        <f>IF(B144="","",IFERROR(INDEX(المبيعات!$C:$C,MATCH(B144,المبيعات!$A:$A,0)),""))</f>
        <v/>
      </c>
      <c r="F144" t="str">
        <f>IF(A144="","",SUMIFS(التحصيلات!$E:$E, التحصيلات!$J:$J, A144))</f>
        <v/>
      </c>
      <c r="G144" t="str">
        <f t="shared" si="4"/>
        <v/>
      </c>
      <c r="H144" t="str">
        <f t="shared" ca="1" si="5"/>
        <v/>
      </c>
    </row>
    <row r="145" spans="3:8" x14ac:dyDescent="0.25">
      <c r="C145" t="str">
        <f>IF(B145="","",IFERROR(INDEX(المبيعات!$C:$C,MATCH(B145,المبيعات!$A:$A,0)),""))</f>
        <v/>
      </c>
      <c r="F145" t="str">
        <f>IF(A145="","",SUMIFS(التحصيلات!$E:$E, التحصيلات!$J:$J, A145))</f>
        <v/>
      </c>
      <c r="G145" t="str">
        <f t="shared" si="4"/>
        <v/>
      </c>
      <c r="H145" t="str">
        <f t="shared" ca="1" si="5"/>
        <v/>
      </c>
    </row>
    <row r="146" spans="3:8" x14ac:dyDescent="0.25">
      <c r="C146" t="str">
        <f>IF(B146="","",IFERROR(INDEX(المبيعات!$C:$C,MATCH(B146,المبيعات!$A:$A,0)),""))</f>
        <v/>
      </c>
      <c r="F146" t="str">
        <f>IF(A146="","",SUMIFS(التحصيلات!$E:$E, التحصيلات!$J:$J, A146))</f>
        <v/>
      </c>
      <c r="G146" t="str">
        <f t="shared" si="4"/>
        <v/>
      </c>
      <c r="H146" t="str">
        <f t="shared" ca="1" si="5"/>
        <v/>
      </c>
    </row>
    <row r="147" spans="3:8" x14ac:dyDescent="0.25">
      <c r="C147" t="str">
        <f>IF(B147="","",IFERROR(INDEX(المبيعات!$C:$C,MATCH(B147,المبيعات!$A:$A,0)),""))</f>
        <v/>
      </c>
      <c r="F147" t="str">
        <f>IF(A147="","",SUMIFS(التحصيلات!$E:$E, التحصيلات!$J:$J, A147))</f>
        <v/>
      </c>
      <c r="G147" t="str">
        <f t="shared" si="4"/>
        <v/>
      </c>
      <c r="H147" t="str">
        <f t="shared" ca="1" si="5"/>
        <v/>
      </c>
    </row>
    <row r="148" spans="3:8" x14ac:dyDescent="0.25">
      <c r="C148" t="str">
        <f>IF(B148="","",IFERROR(INDEX(المبيعات!$C:$C,MATCH(B148,المبيعات!$A:$A,0)),""))</f>
        <v/>
      </c>
      <c r="F148" t="str">
        <f>IF(A148="","",SUMIFS(التحصيلات!$E:$E, التحصيلات!$J:$J, A148))</f>
        <v/>
      </c>
      <c r="G148" t="str">
        <f t="shared" si="4"/>
        <v/>
      </c>
      <c r="H148" t="str">
        <f t="shared" ca="1" si="5"/>
        <v/>
      </c>
    </row>
    <row r="149" spans="3:8" x14ac:dyDescent="0.25">
      <c r="C149" t="str">
        <f>IF(B149="","",IFERROR(INDEX(المبيعات!$C:$C,MATCH(B149,المبيعات!$A:$A,0)),""))</f>
        <v/>
      </c>
      <c r="F149" t="str">
        <f>IF(A149="","",SUMIFS(التحصيلات!$E:$E, التحصيلات!$J:$J, A149))</f>
        <v/>
      </c>
      <c r="G149" t="str">
        <f t="shared" si="4"/>
        <v/>
      </c>
      <c r="H149" t="str">
        <f t="shared" ca="1" si="5"/>
        <v/>
      </c>
    </row>
    <row r="150" spans="3:8" x14ac:dyDescent="0.25">
      <c r="C150" t="str">
        <f>IF(B150="","",IFERROR(INDEX(المبيعات!$C:$C,MATCH(B150,المبيعات!$A:$A,0)),""))</f>
        <v/>
      </c>
      <c r="F150" t="str">
        <f>IF(A150="","",SUMIFS(التحصيلات!$E:$E, التحصيلات!$J:$J, A150))</f>
        <v/>
      </c>
      <c r="G150" t="str">
        <f t="shared" si="4"/>
        <v/>
      </c>
      <c r="H150" t="str">
        <f t="shared" ca="1" si="5"/>
        <v/>
      </c>
    </row>
    <row r="151" spans="3:8" x14ac:dyDescent="0.25">
      <c r="C151" t="str">
        <f>IF(B151="","",IFERROR(INDEX(المبيعات!$C:$C,MATCH(B151,المبيعات!$A:$A,0)),""))</f>
        <v/>
      </c>
      <c r="F151" t="str">
        <f>IF(A151="","",SUMIFS(التحصيلات!$E:$E, التحصيلات!$J:$J, A151))</f>
        <v/>
      </c>
      <c r="G151" t="str">
        <f t="shared" si="4"/>
        <v/>
      </c>
      <c r="H151" t="str">
        <f t="shared" ca="1" si="5"/>
        <v/>
      </c>
    </row>
    <row r="152" spans="3:8" x14ac:dyDescent="0.25">
      <c r="C152" t="str">
        <f>IF(B152="","",IFERROR(INDEX(المبيعات!$C:$C,MATCH(B152,المبيعات!$A:$A,0)),""))</f>
        <v/>
      </c>
      <c r="F152" t="str">
        <f>IF(A152="","",SUMIFS(التحصيلات!$E:$E, التحصيلات!$J:$J, A152))</f>
        <v/>
      </c>
      <c r="G152" t="str">
        <f t="shared" si="4"/>
        <v/>
      </c>
      <c r="H152" t="str">
        <f t="shared" ca="1" si="5"/>
        <v/>
      </c>
    </row>
    <row r="153" spans="3:8" x14ac:dyDescent="0.25">
      <c r="C153" t="str">
        <f>IF(B153="","",IFERROR(INDEX(المبيعات!$C:$C,MATCH(B153,المبيعات!$A:$A,0)),""))</f>
        <v/>
      </c>
      <c r="F153" t="str">
        <f>IF(A153="","",SUMIFS(التحصيلات!$E:$E, التحصيلات!$J:$J, A153))</f>
        <v/>
      </c>
      <c r="G153" t="str">
        <f t="shared" si="4"/>
        <v/>
      </c>
      <c r="H153" t="str">
        <f t="shared" ca="1" si="5"/>
        <v/>
      </c>
    </row>
    <row r="154" spans="3:8" x14ac:dyDescent="0.25">
      <c r="C154" t="str">
        <f>IF(B154="","",IFERROR(INDEX(المبيعات!$C:$C,MATCH(B154,المبيعات!$A:$A,0)),""))</f>
        <v/>
      </c>
      <c r="F154" t="str">
        <f>IF(A154="","",SUMIFS(التحصيلات!$E:$E, التحصيلات!$J:$J, A154))</f>
        <v/>
      </c>
      <c r="G154" t="str">
        <f t="shared" si="4"/>
        <v/>
      </c>
      <c r="H154" t="str">
        <f t="shared" ca="1" si="5"/>
        <v/>
      </c>
    </row>
    <row r="155" spans="3:8" x14ac:dyDescent="0.25">
      <c r="C155" t="str">
        <f>IF(B155="","",IFERROR(INDEX(المبيعات!$C:$C,MATCH(B155,المبيعات!$A:$A,0)),""))</f>
        <v/>
      </c>
      <c r="F155" t="str">
        <f>IF(A155="","",SUMIFS(التحصيلات!$E:$E, التحصيلات!$J:$J, A155))</f>
        <v/>
      </c>
      <c r="G155" t="str">
        <f t="shared" si="4"/>
        <v/>
      </c>
      <c r="H155" t="str">
        <f t="shared" ca="1" si="5"/>
        <v/>
      </c>
    </row>
    <row r="156" spans="3:8" x14ac:dyDescent="0.25">
      <c r="C156" t="str">
        <f>IF(B156="","",IFERROR(INDEX(المبيعات!$C:$C,MATCH(B156,المبيعات!$A:$A,0)),""))</f>
        <v/>
      </c>
      <c r="F156" t="str">
        <f>IF(A156="","",SUMIFS(التحصيلات!$E:$E, التحصيلات!$J:$J, A156))</f>
        <v/>
      </c>
      <c r="G156" t="str">
        <f t="shared" si="4"/>
        <v/>
      </c>
      <c r="H156" t="str">
        <f t="shared" ca="1" si="5"/>
        <v/>
      </c>
    </row>
    <row r="157" spans="3:8" x14ac:dyDescent="0.25">
      <c r="C157" t="str">
        <f>IF(B157="","",IFERROR(INDEX(المبيعات!$C:$C,MATCH(B157,المبيعات!$A:$A,0)),""))</f>
        <v/>
      </c>
      <c r="F157" t="str">
        <f>IF(A157="","",SUMIFS(التحصيلات!$E:$E, التحصيلات!$J:$J, A157))</f>
        <v/>
      </c>
      <c r="G157" t="str">
        <f t="shared" si="4"/>
        <v/>
      </c>
      <c r="H157" t="str">
        <f t="shared" ca="1" si="5"/>
        <v/>
      </c>
    </row>
    <row r="158" spans="3:8" x14ac:dyDescent="0.25">
      <c r="C158" t="str">
        <f>IF(B158="","",IFERROR(INDEX(المبيعات!$C:$C,MATCH(B158,المبيعات!$A:$A,0)),""))</f>
        <v/>
      </c>
      <c r="F158" t="str">
        <f>IF(A158="","",SUMIFS(التحصيلات!$E:$E, التحصيلات!$J:$J, A158))</f>
        <v/>
      </c>
      <c r="G158" t="str">
        <f t="shared" si="4"/>
        <v/>
      </c>
      <c r="H158" t="str">
        <f t="shared" ca="1" si="5"/>
        <v/>
      </c>
    </row>
    <row r="159" spans="3:8" x14ac:dyDescent="0.25">
      <c r="C159" t="str">
        <f>IF(B159="","",IFERROR(INDEX(المبيعات!$C:$C,MATCH(B159,المبيعات!$A:$A,0)),""))</f>
        <v/>
      </c>
      <c r="F159" t="str">
        <f>IF(A159="","",SUMIFS(التحصيلات!$E:$E, التحصيلات!$J:$J, A159))</f>
        <v/>
      </c>
      <c r="G159" t="str">
        <f t="shared" si="4"/>
        <v/>
      </c>
      <c r="H159" t="str">
        <f t="shared" ca="1" si="5"/>
        <v/>
      </c>
    </row>
    <row r="160" spans="3:8" x14ac:dyDescent="0.25">
      <c r="C160" t="str">
        <f>IF(B160="","",IFERROR(INDEX(المبيعات!$C:$C,MATCH(B160,المبيعات!$A:$A,0)),""))</f>
        <v/>
      </c>
      <c r="F160" t="str">
        <f>IF(A160="","",SUMIFS(التحصيلات!$E:$E, التحصيلات!$J:$J, A160))</f>
        <v/>
      </c>
      <c r="G160" t="str">
        <f t="shared" si="4"/>
        <v/>
      </c>
      <c r="H160" t="str">
        <f t="shared" ca="1" si="5"/>
        <v/>
      </c>
    </row>
    <row r="161" spans="3:8" x14ac:dyDescent="0.25">
      <c r="C161" t="str">
        <f>IF(B161="","",IFERROR(INDEX(المبيعات!$C:$C,MATCH(B161,المبيعات!$A:$A,0)),""))</f>
        <v/>
      </c>
      <c r="F161" t="str">
        <f>IF(A161="","",SUMIFS(التحصيلات!$E:$E, التحصيلات!$J:$J, A161))</f>
        <v/>
      </c>
      <c r="G161" t="str">
        <f t="shared" si="4"/>
        <v/>
      </c>
      <c r="H161" t="str">
        <f t="shared" ca="1" si="5"/>
        <v/>
      </c>
    </row>
    <row r="162" spans="3:8" x14ac:dyDescent="0.25">
      <c r="C162" t="str">
        <f>IF(B162="","",IFERROR(INDEX(المبيعات!$C:$C,MATCH(B162,المبيعات!$A:$A,0)),""))</f>
        <v/>
      </c>
      <c r="F162" t="str">
        <f>IF(A162="","",SUMIFS(التحصيلات!$E:$E, التحصيلات!$J:$J, A162))</f>
        <v/>
      </c>
      <c r="G162" t="str">
        <f t="shared" si="4"/>
        <v/>
      </c>
      <c r="H162" t="str">
        <f t="shared" ca="1" si="5"/>
        <v/>
      </c>
    </row>
    <row r="163" spans="3:8" x14ac:dyDescent="0.25">
      <c r="C163" t="str">
        <f>IF(B163="","",IFERROR(INDEX(المبيعات!$C:$C,MATCH(B163,المبيعات!$A:$A,0)),""))</f>
        <v/>
      </c>
      <c r="F163" t="str">
        <f>IF(A163="","",SUMIFS(التحصيلات!$E:$E, التحصيلات!$J:$J, A163))</f>
        <v/>
      </c>
      <c r="G163" t="str">
        <f t="shared" si="4"/>
        <v/>
      </c>
      <c r="H163" t="str">
        <f t="shared" ca="1" si="5"/>
        <v/>
      </c>
    </row>
    <row r="164" spans="3:8" x14ac:dyDescent="0.25">
      <c r="C164" t="str">
        <f>IF(B164="","",IFERROR(INDEX(المبيعات!$C:$C,MATCH(B164,المبيعات!$A:$A,0)),""))</f>
        <v/>
      </c>
      <c r="F164" t="str">
        <f>IF(A164="","",SUMIFS(التحصيلات!$E:$E, التحصيلات!$J:$J, A164))</f>
        <v/>
      </c>
      <c r="G164" t="str">
        <f t="shared" si="4"/>
        <v/>
      </c>
      <c r="H164" t="str">
        <f t="shared" ca="1" si="5"/>
        <v/>
      </c>
    </row>
    <row r="165" spans="3:8" x14ac:dyDescent="0.25">
      <c r="C165" t="str">
        <f>IF(B165="","",IFERROR(INDEX(المبيعات!$C:$C,MATCH(B165,المبيعات!$A:$A,0)),""))</f>
        <v/>
      </c>
      <c r="F165" t="str">
        <f>IF(A165="","",SUMIFS(التحصيلات!$E:$E, التحصيلات!$J:$J, A165))</f>
        <v/>
      </c>
      <c r="G165" t="str">
        <f t="shared" si="4"/>
        <v/>
      </c>
      <c r="H165" t="str">
        <f t="shared" ca="1" si="5"/>
        <v/>
      </c>
    </row>
    <row r="166" spans="3:8" x14ac:dyDescent="0.25">
      <c r="C166" t="str">
        <f>IF(B166="","",IFERROR(INDEX(المبيعات!$C:$C,MATCH(B166,المبيعات!$A:$A,0)),""))</f>
        <v/>
      </c>
      <c r="F166" t="str">
        <f>IF(A166="","",SUMIFS(التحصيلات!$E:$E, التحصيلات!$J:$J, A166))</f>
        <v/>
      </c>
      <c r="G166" t="str">
        <f t="shared" si="4"/>
        <v/>
      </c>
      <c r="H166" t="str">
        <f t="shared" ca="1" si="5"/>
        <v/>
      </c>
    </row>
    <row r="167" spans="3:8" x14ac:dyDescent="0.25">
      <c r="C167" t="str">
        <f>IF(B167="","",IFERROR(INDEX(المبيعات!$C:$C,MATCH(B167,المبيعات!$A:$A,0)),""))</f>
        <v/>
      </c>
      <c r="F167" t="str">
        <f>IF(A167="","",SUMIFS(التحصيلات!$E:$E, التحصيلات!$J:$J, A167))</f>
        <v/>
      </c>
      <c r="G167" t="str">
        <f t="shared" si="4"/>
        <v/>
      </c>
      <c r="H167" t="str">
        <f t="shared" ca="1" si="5"/>
        <v/>
      </c>
    </row>
    <row r="168" spans="3:8" x14ac:dyDescent="0.25">
      <c r="C168" t="str">
        <f>IF(B168="","",IFERROR(INDEX(المبيعات!$C:$C,MATCH(B168,المبيعات!$A:$A,0)),""))</f>
        <v/>
      </c>
      <c r="F168" t="str">
        <f>IF(A168="","",SUMIFS(التحصيلات!$E:$E, التحصيلات!$J:$J, A168))</f>
        <v/>
      </c>
      <c r="G168" t="str">
        <f t="shared" si="4"/>
        <v/>
      </c>
      <c r="H168" t="str">
        <f t="shared" ca="1" si="5"/>
        <v/>
      </c>
    </row>
    <row r="169" spans="3:8" x14ac:dyDescent="0.25">
      <c r="C169" t="str">
        <f>IF(B169="","",IFERROR(INDEX(المبيعات!$C:$C,MATCH(B169,المبيعات!$A:$A,0)),""))</f>
        <v/>
      </c>
      <c r="F169" t="str">
        <f>IF(A169="","",SUMIFS(التحصيلات!$E:$E, التحصيلات!$J:$J, A169))</f>
        <v/>
      </c>
      <c r="G169" t="str">
        <f t="shared" si="4"/>
        <v/>
      </c>
      <c r="H169" t="str">
        <f t="shared" ca="1" si="5"/>
        <v/>
      </c>
    </row>
    <row r="170" spans="3:8" x14ac:dyDescent="0.25">
      <c r="C170" t="str">
        <f>IF(B170="","",IFERROR(INDEX(المبيعات!$C:$C,MATCH(B170,المبيعات!$A:$A,0)),""))</f>
        <v/>
      </c>
      <c r="F170" t="str">
        <f>IF(A170="","",SUMIFS(التحصيلات!$E:$E, التحصيلات!$J:$J, A170))</f>
        <v/>
      </c>
      <c r="G170" t="str">
        <f t="shared" si="4"/>
        <v/>
      </c>
      <c r="H170" t="str">
        <f t="shared" ca="1" si="5"/>
        <v/>
      </c>
    </row>
    <row r="171" spans="3:8" x14ac:dyDescent="0.25">
      <c r="C171" t="str">
        <f>IF(B171="","",IFERROR(INDEX(المبيعات!$C:$C,MATCH(B171,المبيعات!$A:$A,0)),""))</f>
        <v/>
      </c>
      <c r="F171" t="str">
        <f>IF(A171="","",SUMIFS(التحصيلات!$E:$E, التحصيلات!$J:$J, A171))</f>
        <v/>
      </c>
      <c r="G171" t="str">
        <f t="shared" si="4"/>
        <v/>
      </c>
      <c r="H171" t="str">
        <f t="shared" ca="1" si="5"/>
        <v/>
      </c>
    </row>
    <row r="172" spans="3:8" x14ac:dyDescent="0.25">
      <c r="C172" t="str">
        <f>IF(B172="","",IFERROR(INDEX(المبيعات!$C:$C,MATCH(B172,المبيعات!$A:$A,0)),""))</f>
        <v/>
      </c>
      <c r="F172" t="str">
        <f>IF(A172="","",SUMIFS(التحصيلات!$E:$E, التحصيلات!$J:$J, A172))</f>
        <v/>
      </c>
      <c r="G172" t="str">
        <f t="shared" si="4"/>
        <v/>
      </c>
      <c r="H172" t="str">
        <f t="shared" ca="1" si="5"/>
        <v/>
      </c>
    </row>
    <row r="173" spans="3:8" x14ac:dyDescent="0.25">
      <c r="C173" t="str">
        <f>IF(B173="","",IFERROR(INDEX(المبيعات!$C:$C,MATCH(B173,المبيعات!$A:$A,0)),""))</f>
        <v/>
      </c>
      <c r="F173" t="str">
        <f>IF(A173="","",SUMIFS(التحصيلات!$E:$E, التحصيلات!$J:$J, A173))</f>
        <v/>
      </c>
      <c r="G173" t="str">
        <f t="shared" si="4"/>
        <v/>
      </c>
      <c r="H173" t="str">
        <f t="shared" ca="1" si="5"/>
        <v/>
      </c>
    </row>
    <row r="174" spans="3:8" x14ac:dyDescent="0.25">
      <c r="C174" t="str">
        <f>IF(B174="","",IFERROR(INDEX(المبيعات!$C:$C,MATCH(B174,المبيعات!$A:$A,0)),""))</f>
        <v/>
      </c>
      <c r="F174" t="str">
        <f>IF(A174="","",SUMIFS(التحصيلات!$E:$E, التحصيلات!$J:$J, A174))</f>
        <v/>
      </c>
      <c r="G174" t="str">
        <f t="shared" si="4"/>
        <v/>
      </c>
      <c r="H174" t="str">
        <f t="shared" ca="1" si="5"/>
        <v/>
      </c>
    </row>
    <row r="175" spans="3:8" x14ac:dyDescent="0.25">
      <c r="C175" t="str">
        <f>IF(B175="","",IFERROR(INDEX(المبيعات!$C:$C,MATCH(B175,المبيعات!$A:$A,0)),""))</f>
        <v/>
      </c>
      <c r="F175" t="str">
        <f>IF(A175="","",SUMIFS(التحصيلات!$E:$E, التحصيلات!$J:$J, A175))</f>
        <v/>
      </c>
      <c r="G175" t="str">
        <f t="shared" si="4"/>
        <v/>
      </c>
      <c r="H175" t="str">
        <f t="shared" ca="1" si="5"/>
        <v/>
      </c>
    </row>
    <row r="176" spans="3:8" x14ac:dyDescent="0.25">
      <c r="C176" t="str">
        <f>IF(B176="","",IFERROR(INDEX(المبيعات!$C:$C,MATCH(B176,المبيعات!$A:$A,0)),""))</f>
        <v/>
      </c>
      <c r="F176" t="str">
        <f>IF(A176="","",SUMIFS(التحصيلات!$E:$E, التحصيلات!$J:$J, A176))</f>
        <v/>
      </c>
      <c r="G176" t="str">
        <f t="shared" si="4"/>
        <v/>
      </c>
      <c r="H176" t="str">
        <f t="shared" ca="1" si="5"/>
        <v/>
      </c>
    </row>
    <row r="177" spans="3:8" x14ac:dyDescent="0.25">
      <c r="C177" t="str">
        <f>IF(B177="","",IFERROR(INDEX(المبيعات!$C:$C,MATCH(B177,المبيعات!$A:$A,0)),""))</f>
        <v/>
      </c>
      <c r="F177" t="str">
        <f>IF(A177="","",SUMIFS(التحصيلات!$E:$E, التحصيلات!$J:$J, A177))</f>
        <v/>
      </c>
      <c r="G177" t="str">
        <f t="shared" si="4"/>
        <v/>
      </c>
      <c r="H177" t="str">
        <f t="shared" ca="1" si="5"/>
        <v/>
      </c>
    </row>
    <row r="178" spans="3:8" x14ac:dyDescent="0.25">
      <c r="C178" t="str">
        <f>IF(B178="","",IFERROR(INDEX(المبيعات!$C:$C,MATCH(B178,المبيعات!$A:$A,0)),""))</f>
        <v/>
      </c>
      <c r="F178" t="str">
        <f>IF(A178="","",SUMIFS(التحصيلات!$E:$E, التحصيلات!$J:$J, A178))</f>
        <v/>
      </c>
      <c r="G178" t="str">
        <f t="shared" si="4"/>
        <v/>
      </c>
      <c r="H178" t="str">
        <f t="shared" ca="1" si="5"/>
        <v/>
      </c>
    </row>
    <row r="179" spans="3:8" x14ac:dyDescent="0.25">
      <c r="C179" t="str">
        <f>IF(B179="","",IFERROR(INDEX(المبيعات!$C:$C,MATCH(B179,المبيعات!$A:$A,0)),""))</f>
        <v/>
      </c>
      <c r="F179" t="str">
        <f>IF(A179="","",SUMIFS(التحصيلات!$E:$E, التحصيلات!$J:$J, A179))</f>
        <v/>
      </c>
      <c r="G179" t="str">
        <f t="shared" si="4"/>
        <v/>
      </c>
      <c r="H179" t="str">
        <f t="shared" ca="1" si="5"/>
        <v/>
      </c>
    </row>
    <row r="180" spans="3:8" x14ac:dyDescent="0.25">
      <c r="C180" t="str">
        <f>IF(B180="","",IFERROR(INDEX(المبيعات!$C:$C,MATCH(B180,المبيعات!$A:$A,0)),""))</f>
        <v/>
      </c>
      <c r="F180" t="str">
        <f>IF(A180="","",SUMIFS(التحصيلات!$E:$E, التحصيلات!$J:$J, A180))</f>
        <v/>
      </c>
      <c r="G180" t="str">
        <f t="shared" si="4"/>
        <v/>
      </c>
      <c r="H180" t="str">
        <f t="shared" ca="1" si="5"/>
        <v/>
      </c>
    </row>
    <row r="181" spans="3:8" x14ac:dyDescent="0.25">
      <c r="C181" t="str">
        <f>IF(B181="","",IFERROR(INDEX(المبيعات!$C:$C,MATCH(B181,المبيعات!$A:$A,0)),""))</f>
        <v/>
      </c>
      <c r="F181" t="str">
        <f>IF(A181="","",SUMIFS(التحصيلات!$E:$E, التحصيلات!$J:$J, A181))</f>
        <v/>
      </c>
      <c r="G181" t="str">
        <f t="shared" si="4"/>
        <v/>
      </c>
      <c r="H181" t="str">
        <f t="shared" ca="1" si="5"/>
        <v/>
      </c>
    </row>
    <row r="182" spans="3:8" x14ac:dyDescent="0.25">
      <c r="C182" t="str">
        <f>IF(B182="","",IFERROR(INDEX(المبيعات!$C:$C,MATCH(B182,المبيعات!$A:$A,0)),""))</f>
        <v/>
      </c>
      <c r="F182" t="str">
        <f>IF(A182="","",SUMIFS(التحصيلات!$E:$E, التحصيلات!$J:$J, A182))</f>
        <v/>
      </c>
      <c r="G182" t="str">
        <f t="shared" si="4"/>
        <v/>
      </c>
      <c r="H182" t="str">
        <f t="shared" ca="1" si="5"/>
        <v/>
      </c>
    </row>
    <row r="183" spans="3:8" x14ac:dyDescent="0.25">
      <c r="C183" t="str">
        <f>IF(B183="","",IFERROR(INDEX(المبيعات!$C:$C,MATCH(B183,المبيعات!$A:$A,0)),""))</f>
        <v/>
      </c>
      <c r="F183" t="str">
        <f>IF(A183="","",SUMIFS(التحصيلات!$E:$E, التحصيلات!$J:$J, A183))</f>
        <v/>
      </c>
      <c r="G183" t="str">
        <f t="shared" si="4"/>
        <v/>
      </c>
      <c r="H183" t="str">
        <f t="shared" ca="1" si="5"/>
        <v/>
      </c>
    </row>
    <row r="184" spans="3:8" x14ac:dyDescent="0.25">
      <c r="C184" t="str">
        <f>IF(B184="","",IFERROR(INDEX(المبيعات!$C:$C,MATCH(B184,المبيعات!$A:$A,0)),""))</f>
        <v/>
      </c>
      <c r="F184" t="str">
        <f>IF(A184="","",SUMIFS(التحصيلات!$E:$E, التحصيلات!$J:$J, A184))</f>
        <v/>
      </c>
      <c r="G184" t="str">
        <f t="shared" si="4"/>
        <v/>
      </c>
      <c r="H184" t="str">
        <f t="shared" ca="1" si="5"/>
        <v/>
      </c>
    </row>
    <row r="185" spans="3:8" x14ac:dyDescent="0.25">
      <c r="C185" t="str">
        <f>IF(B185="","",IFERROR(INDEX(المبيعات!$C:$C,MATCH(B185,المبيعات!$A:$A,0)),""))</f>
        <v/>
      </c>
      <c r="F185" t="str">
        <f>IF(A185="","",SUMIFS(التحصيلات!$E:$E, التحصيلات!$J:$J, A185))</f>
        <v/>
      </c>
      <c r="G185" t="str">
        <f t="shared" si="4"/>
        <v/>
      </c>
      <c r="H185" t="str">
        <f t="shared" ca="1" si="5"/>
        <v/>
      </c>
    </row>
    <row r="186" spans="3:8" x14ac:dyDescent="0.25">
      <c r="C186" t="str">
        <f>IF(B186="","",IFERROR(INDEX(المبيعات!$C:$C,MATCH(B186,المبيعات!$A:$A,0)),""))</f>
        <v/>
      </c>
      <c r="F186" t="str">
        <f>IF(A186="","",SUMIFS(التحصيلات!$E:$E, التحصيلات!$J:$J, A186))</f>
        <v/>
      </c>
      <c r="G186" t="str">
        <f t="shared" si="4"/>
        <v/>
      </c>
      <c r="H186" t="str">
        <f t="shared" ca="1" si="5"/>
        <v/>
      </c>
    </row>
    <row r="187" spans="3:8" x14ac:dyDescent="0.25">
      <c r="C187" t="str">
        <f>IF(B187="","",IFERROR(INDEX(المبيعات!$C:$C,MATCH(B187,المبيعات!$A:$A,0)),""))</f>
        <v/>
      </c>
      <c r="F187" t="str">
        <f>IF(A187="","",SUMIFS(التحصيلات!$E:$E, التحصيلات!$J:$J, A187))</f>
        <v/>
      </c>
      <c r="G187" t="str">
        <f t="shared" si="4"/>
        <v/>
      </c>
      <c r="H187" t="str">
        <f t="shared" ca="1" si="5"/>
        <v/>
      </c>
    </row>
    <row r="188" spans="3:8" x14ac:dyDescent="0.25">
      <c r="C188" t="str">
        <f>IF(B188="","",IFERROR(INDEX(المبيعات!$C:$C,MATCH(B188,المبيعات!$A:$A,0)),""))</f>
        <v/>
      </c>
      <c r="F188" t="str">
        <f>IF(A188="","",SUMIFS(التحصيلات!$E:$E, التحصيلات!$J:$J, A188))</f>
        <v/>
      </c>
      <c r="G188" t="str">
        <f t="shared" si="4"/>
        <v/>
      </c>
      <c r="H188" t="str">
        <f t="shared" ca="1" si="5"/>
        <v/>
      </c>
    </row>
    <row r="189" spans="3:8" x14ac:dyDescent="0.25">
      <c r="C189" t="str">
        <f>IF(B189="","",IFERROR(INDEX(المبيعات!$C:$C,MATCH(B189,المبيعات!$A:$A,0)),""))</f>
        <v/>
      </c>
      <c r="F189" t="str">
        <f>IF(A189="","",SUMIFS(التحصيلات!$E:$E, التحصيلات!$J:$J, A189))</f>
        <v/>
      </c>
      <c r="G189" t="str">
        <f t="shared" si="4"/>
        <v/>
      </c>
      <c r="H189" t="str">
        <f t="shared" ca="1" si="5"/>
        <v/>
      </c>
    </row>
    <row r="190" spans="3:8" x14ac:dyDescent="0.25">
      <c r="C190" t="str">
        <f>IF(B190="","",IFERROR(INDEX(المبيعات!$C:$C,MATCH(B190,المبيعات!$A:$A,0)),""))</f>
        <v/>
      </c>
      <c r="F190" t="str">
        <f>IF(A190="","",SUMIFS(التحصيلات!$E:$E, التحصيلات!$J:$J, A190))</f>
        <v/>
      </c>
      <c r="G190" t="str">
        <f t="shared" si="4"/>
        <v/>
      </c>
      <c r="H190" t="str">
        <f t="shared" ca="1" si="5"/>
        <v/>
      </c>
    </row>
    <row r="191" spans="3:8" x14ac:dyDescent="0.25">
      <c r="C191" t="str">
        <f>IF(B191="","",IFERROR(INDEX(المبيعات!$C:$C,MATCH(B191,المبيعات!$A:$A,0)),""))</f>
        <v/>
      </c>
      <c r="F191" t="str">
        <f>IF(A191="","",SUMIFS(التحصيلات!$E:$E, التحصيلات!$J:$J, A191))</f>
        <v/>
      </c>
      <c r="G191" t="str">
        <f t="shared" si="4"/>
        <v/>
      </c>
      <c r="H191" t="str">
        <f t="shared" ca="1" si="5"/>
        <v/>
      </c>
    </row>
    <row r="192" spans="3:8" x14ac:dyDescent="0.25">
      <c r="C192" t="str">
        <f>IF(B192="","",IFERROR(INDEX(المبيعات!$C:$C,MATCH(B192,المبيعات!$A:$A,0)),""))</f>
        <v/>
      </c>
      <c r="F192" t="str">
        <f>IF(A192="","",SUMIFS(التحصيلات!$E:$E, التحصيلات!$J:$J, A192))</f>
        <v/>
      </c>
      <c r="G192" t="str">
        <f t="shared" si="4"/>
        <v/>
      </c>
      <c r="H192" t="str">
        <f t="shared" ca="1" si="5"/>
        <v/>
      </c>
    </row>
    <row r="193" spans="3:8" x14ac:dyDescent="0.25">
      <c r="C193" t="str">
        <f>IF(B193="","",IFERROR(INDEX(المبيعات!$C:$C,MATCH(B193,المبيعات!$A:$A,0)),""))</f>
        <v/>
      </c>
      <c r="F193" t="str">
        <f>IF(A193="","",SUMIFS(التحصيلات!$E:$E, التحصيلات!$J:$J, A193))</f>
        <v/>
      </c>
      <c r="G193" t="str">
        <f t="shared" si="4"/>
        <v/>
      </c>
      <c r="H193" t="str">
        <f t="shared" ca="1" si="5"/>
        <v/>
      </c>
    </row>
    <row r="194" spans="3:8" x14ac:dyDescent="0.25">
      <c r="C194" t="str">
        <f>IF(B194="","",IFERROR(INDEX(المبيعات!$C:$C,MATCH(B194,المبيعات!$A:$A,0)),""))</f>
        <v/>
      </c>
      <c r="F194" t="str">
        <f>IF(A194="","",SUMIFS(التحصيلات!$E:$E, التحصيلات!$J:$J, A194))</f>
        <v/>
      </c>
      <c r="G194" t="str">
        <f t="shared" si="4"/>
        <v/>
      </c>
      <c r="H194" t="str">
        <f t="shared" ca="1" si="5"/>
        <v/>
      </c>
    </row>
    <row r="195" spans="3:8" x14ac:dyDescent="0.25">
      <c r="C195" t="str">
        <f>IF(B195="","",IFERROR(INDEX(المبيعات!$C:$C,MATCH(B195,المبيعات!$A:$A,0)),""))</f>
        <v/>
      </c>
      <c r="F195" t="str">
        <f>IF(A195="","",SUMIFS(التحصيلات!$E:$E, التحصيلات!$J:$J, A195))</f>
        <v/>
      </c>
      <c r="G195" t="str">
        <f t="shared" ref="G195:G258" si="6">IF(A195="","", E195 - F195)</f>
        <v/>
      </c>
      <c r="H195" t="str">
        <f t="shared" ref="H195:H258" ca="1" si="7">IF(A195="","",IF(ROUND(G195,2)&lt;=0,"مدفوع",IF(ROUND(F195,2)&gt;0,"مدفوع جزئياً",IF(AND(D195&lt;&gt;"",D195&lt;TODAY()),"متأخر","مستحق"))))</f>
        <v/>
      </c>
    </row>
    <row r="196" spans="3:8" x14ac:dyDescent="0.25">
      <c r="C196" t="str">
        <f>IF(B196="","",IFERROR(INDEX(المبيعات!$C:$C,MATCH(B196,المبيعات!$A:$A,0)),""))</f>
        <v/>
      </c>
      <c r="F196" t="str">
        <f>IF(A196="","",SUMIFS(التحصيلات!$E:$E, التحصيلات!$J:$J, A196))</f>
        <v/>
      </c>
      <c r="G196" t="str">
        <f t="shared" si="6"/>
        <v/>
      </c>
      <c r="H196" t="str">
        <f t="shared" ca="1" si="7"/>
        <v/>
      </c>
    </row>
    <row r="197" spans="3:8" x14ac:dyDescent="0.25">
      <c r="C197" t="str">
        <f>IF(B197="","",IFERROR(INDEX(المبيعات!$C:$C,MATCH(B197,المبيعات!$A:$A,0)),""))</f>
        <v/>
      </c>
      <c r="F197" t="str">
        <f>IF(A197="","",SUMIFS(التحصيلات!$E:$E, التحصيلات!$J:$J, A197))</f>
        <v/>
      </c>
      <c r="G197" t="str">
        <f t="shared" si="6"/>
        <v/>
      </c>
      <c r="H197" t="str">
        <f t="shared" ca="1" si="7"/>
        <v/>
      </c>
    </row>
    <row r="198" spans="3:8" x14ac:dyDescent="0.25">
      <c r="C198" t="str">
        <f>IF(B198="","",IFERROR(INDEX(المبيعات!$C:$C,MATCH(B198,المبيعات!$A:$A,0)),""))</f>
        <v/>
      </c>
      <c r="F198" t="str">
        <f>IF(A198="","",SUMIFS(التحصيلات!$E:$E, التحصيلات!$J:$J, A198))</f>
        <v/>
      </c>
      <c r="G198" t="str">
        <f t="shared" si="6"/>
        <v/>
      </c>
      <c r="H198" t="str">
        <f t="shared" ca="1" si="7"/>
        <v/>
      </c>
    </row>
    <row r="199" spans="3:8" x14ac:dyDescent="0.25">
      <c r="C199" t="str">
        <f>IF(B199="","",IFERROR(INDEX(المبيعات!$C:$C,MATCH(B199,المبيعات!$A:$A,0)),""))</f>
        <v/>
      </c>
      <c r="F199" t="str">
        <f>IF(A199="","",SUMIFS(التحصيلات!$E:$E, التحصيلات!$J:$J, A199))</f>
        <v/>
      </c>
      <c r="G199" t="str">
        <f t="shared" si="6"/>
        <v/>
      </c>
      <c r="H199" t="str">
        <f t="shared" ca="1" si="7"/>
        <v/>
      </c>
    </row>
    <row r="200" spans="3:8" x14ac:dyDescent="0.25">
      <c r="C200" t="str">
        <f>IF(B200="","",IFERROR(INDEX(المبيعات!$C:$C,MATCH(B200,المبيعات!$A:$A,0)),""))</f>
        <v/>
      </c>
      <c r="F200" t="str">
        <f>IF(A200="","",SUMIFS(التحصيلات!$E:$E, التحصيلات!$J:$J, A200))</f>
        <v/>
      </c>
      <c r="G200" t="str">
        <f t="shared" si="6"/>
        <v/>
      </c>
      <c r="H200" t="str">
        <f t="shared" ca="1" si="7"/>
        <v/>
      </c>
    </row>
    <row r="201" spans="3:8" x14ac:dyDescent="0.25">
      <c r="C201" t="str">
        <f>IF(B201="","",IFERROR(INDEX(المبيعات!$C:$C,MATCH(B201,المبيعات!$A:$A,0)),""))</f>
        <v/>
      </c>
      <c r="F201" t="str">
        <f>IF(A201="","",SUMIFS(التحصيلات!$E:$E, التحصيلات!$J:$J, A201))</f>
        <v/>
      </c>
      <c r="G201" t="str">
        <f t="shared" si="6"/>
        <v/>
      </c>
      <c r="H201" t="str">
        <f t="shared" ca="1" si="7"/>
        <v/>
      </c>
    </row>
    <row r="202" spans="3:8" x14ac:dyDescent="0.25">
      <c r="C202" t="str">
        <f>IF(B202="","",IFERROR(INDEX(المبيعات!$C:$C,MATCH(B202,المبيعات!$A:$A,0)),""))</f>
        <v/>
      </c>
      <c r="F202" t="str">
        <f>IF(A202="","",SUMIFS(التحصيلات!$E:$E, التحصيلات!$J:$J, A202))</f>
        <v/>
      </c>
      <c r="G202" t="str">
        <f t="shared" si="6"/>
        <v/>
      </c>
      <c r="H202" t="str">
        <f t="shared" ca="1" si="7"/>
        <v/>
      </c>
    </row>
    <row r="203" spans="3:8" x14ac:dyDescent="0.25">
      <c r="C203" t="str">
        <f>IF(B203="","",IFERROR(INDEX(المبيعات!$C:$C,MATCH(B203,المبيعات!$A:$A,0)),""))</f>
        <v/>
      </c>
      <c r="F203" t="str">
        <f>IF(A203="","",SUMIFS(التحصيلات!$E:$E, التحصيلات!$J:$J, A203))</f>
        <v/>
      </c>
      <c r="G203" t="str">
        <f t="shared" si="6"/>
        <v/>
      </c>
      <c r="H203" t="str">
        <f t="shared" ca="1" si="7"/>
        <v/>
      </c>
    </row>
    <row r="204" spans="3:8" x14ac:dyDescent="0.25">
      <c r="C204" t="str">
        <f>IF(B204="","",IFERROR(INDEX(المبيعات!$C:$C,MATCH(B204,المبيعات!$A:$A,0)),""))</f>
        <v/>
      </c>
      <c r="F204" t="str">
        <f>IF(A204="","",SUMIFS(التحصيلات!$E:$E, التحصيلات!$J:$J, A204))</f>
        <v/>
      </c>
      <c r="G204" t="str">
        <f t="shared" si="6"/>
        <v/>
      </c>
      <c r="H204" t="str">
        <f t="shared" ca="1" si="7"/>
        <v/>
      </c>
    </row>
    <row r="205" spans="3:8" x14ac:dyDescent="0.25">
      <c r="C205" t="str">
        <f>IF(B205="","",IFERROR(INDEX(المبيعات!$C:$C,MATCH(B205,المبيعات!$A:$A,0)),""))</f>
        <v/>
      </c>
      <c r="F205" t="str">
        <f>IF(A205="","",SUMIFS(التحصيلات!$E:$E, التحصيلات!$J:$J, A205))</f>
        <v/>
      </c>
      <c r="G205" t="str">
        <f t="shared" si="6"/>
        <v/>
      </c>
      <c r="H205" t="str">
        <f t="shared" ca="1" si="7"/>
        <v/>
      </c>
    </row>
    <row r="206" spans="3:8" x14ac:dyDescent="0.25">
      <c r="C206" t="str">
        <f>IF(B206="","",IFERROR(INDEX(المبيعات!$C:$C,MATCH(B206,المبيعات!$A:$A,0)),""))</f>
        <v/>
      </c>
      <c r="F206" t="str">
        <f>IF(A206="","",SUMIFS(التحصيلات!$E:$E, التحصيلات!$J:$J, A206))</f>
        <v/>
      </c>
      <c r="G206" t="str">
        <f t="shared" si="6"/>
        <v/>
      </c>
      <c r="H206" t="str">
        <f t="shared" ca="1" si="7"/>
        <v/>
      </c>
    </row>
    <row r="207" spans="3:8" x14ac:dyDescent="0.25">
      <c r="C207" t="str">
        <f>IF(B207="","",IFERROR(INDEX(المبيعات!$C:$C,MATCH(B207,المبيعات!$A:$A,0)),""))</f>
        <v/>
      </c>
      <c r="F207" t="str">
        <f>IF(A207="","",SUMIFS(التحصيلات!$E:$E, التحصيلات!$J:$J, A207))</f>
        <v/>
      </c>
      <c r="G207" t="str">
        <f t="shared" si="6"/>
        <v/>
      </c>
      <c r="H207" t="str">
        <f t="shared" ca="1" si="7"/>
        <v/>
      </c>
    </row>
    <row r="208" spans="3:8" x14ac:dyDescent="0.25">
      <c r="C208" t="str">
        <f>IF(B208="","",IFERROR(INDEX(المبيعات!$C:$C,MATCH(B208,المبيعات!$A:$A,0)),""))</f>
        <v/>
      </c>
      <c r="F208" t="str">
        <f>IF(A208="","",SUMIFS(التحصيلات!$E:$E, التحصيلات!$J:$J, A208))</f>
        <v/>
      </c>
      <c r="G208" t="str">
        <f t="shared" si="6"/>
        <v/>
      </c>
      <c r="H208" t="str">
        <f t="shared" ca="1" si="7"/>
        <v/>
      </c>
    </row>
    <row r="209" spans="3:8" x14ac:dyDescent="0.25">
      <c r="C209" t="str">
        <f>IF(B209="","",IFERROR(INDEX(المبيعات!$C:$C,MATCH(B209,المبيعات!$A:$A,0)),""))</f>
        <v/>
      </c>
      <c r="F209" t="str">
        <f>IF(A209="","",SUMIFS(التحصيلات!$E:$E, التحصيلات!$J:$J, A209))</f>
        <v/>
      </c>
      <c r="G209" t="str">
        <f t="shared" si="6"/>
        <v/>
      </c>
      <c r="H209" t="str">
        <f t="shared" ca="1" si="7"/>
        <v/>
      </c>
    </row>
    <row r="210" spans="3:8" x14ac:dyDescent="0.25">
      <c r="C210" t="str">
        <f>IF(B210="","",IFERROR(INDEX(المبيعات!$C:$C,MATCH(B210,المبيعات!$A:$A,0)),""))</f>
        <v/>
      </c>
      <c r="F210" t="str">
        <f>IF(A210="","",SUMIFS(التحصيلات!$E:$E, التحصيلات!$J:$J, A210))</f>
        <v/>
      </c>
      <c r="G210" t="str">
        <f t="shared" si="6"/>
        <v/>
      </c>
      <c r="H210" t="str">
        <f t="shared" ca="1" si="7"/>
        <v/>
      </c>
    </row>
    <row r="211" spans="3:8" x14ac:dyDescent="0.25">
      <c r="C211" t="str">
        <f>IF(B211="","",IFERROR(INDEX(المبيعات!$C:$C,MATCH(B211,المبيعات!$A:$A,0)),""))</f>
        <v/>
      </c>
      <c r="F211" t="str">
        <f>IF(A211="","",SUMIFS(التحصيلات!$E:$E, التحصيلات!$J:$J, A211))</f>
        <v/>
      </c>
      <c r="G211" t="str">
        <f t="shared" si="6"/>
        <v/>
      </c>
      <c r="H211" t="str">
        <f t="shared" ca="1" si="7"/>
        <v/>
      </c>
    </row>
    <row r="212" spans="3:8" x14ac:dyDescent="0.25">
      <c r="C212" t="str">
        <f>IF(B212="","",IFERROR(INDEX(المبيعات!$C:$C,MATCH(B212,المبيعات!$A:$A,0)),""))</f>
        <v/>
      </c>
      <c r="F212" t="str">
        <f>IF(A212="","",SUMIFS(التحصيلات!$E:$E, التحصيلات!$J:$J, A212))</f>
        <v/>
      </c>
      <c r="G212" t="str">
        <f t="shared" si="6"/>
        <v/>
      </c>
      <c r="H212" t="str">
        <f t="shared" ca="1" si="7"/>
        <v/>
      </c>
    </row>
    <row r="213" spans="3:8" x14ac:dyDescent="0.25">
      <c r="C213" t="str">
        <f>IF(B213="","",IFERROR(INDEX(المبيعات!$C:$C,MATCH(B213,المبيعات!$A:$A,0)),""))</f>
        <v/>
      </c>
      <c r="F213" t="str">
        <f>IF(A213="","",SUMIFS(التحصيلات!$E:$E, التحصيلات!$J:$J, A213))</f>
        <v/>
      </c>
      <c r="G213" t="str">
        <f t="shared" si="6"/>
        <v/>
      </c>
      <c r="H213" t="str">
        <f t="shared" ca="1" si="7"/>
        <v/>
      </c>
    </row>
    <row r="214" spans="3:8" x14ac:dyDescent="0.25">
      <c r="C214" t="str">
        <f>IF(B214="","",IFERROR(INDEX(المبيعات!$C:$C,MATCH(B214,المبيعات!$A:$A,0)),""))</f>
        <v/>
      </c>
      <c r="F214" t="str">
        <f>IF(A214="","",SUMIFS(التحصيلات!$E:$E, التحصيلات!$J:$J, A214))</f>
        <v/>
      </c>
      <c r="G214" t="str">
        <f t="shared" si="6"/>
        <v/>
      </c>
      <c r="H214" t="str">
        <f t="shared" ca="1" si="7"/>
        <v/>
      </c>
    </row>
    <row r="215" spans="3:8" x14ac:dyDescent="0.25">
      <c r="C215" t="str">
        <f>IF(B215="","",IFERROR(INDEX(المبيعات!$C:$C,MATCH(B215,المبيعات!$A:$A,0)),""))</f>
        <v/>
      </c>
      <c r="F215" t="str">
        <f>IF(A215="","",SUMIFS(التحصيلات!$E:$E, التحصيلات!$J:$J, A215))</f>
        <v/>
      </c>
      <c r="G215" t="str">
        <f t="shared" si="6"/>
        <v/>
      </c>
      <c r="H215" t="str">
        <f t="shared" ca="1" si="7"/>
        <v/>
      </c>
    </row>
    <row r="216" spans="3:8" x14ac:dyDescent="0.25">
      <c r="C216" t="str">
        <f>IF(B216="","",IFERROR(INDEX(المبيعات!$C:$C,MATCH(B216,المبيعات!$A:$A,0)),""))</f>
        <v/>
      </c>
      <c r="F216" t="str">
        <f>IF(A216="","",SUMIFS(التحصيلات!$E:$E, التحصيلات!$J:$J, A216))</f>
        <v/>
      </c>
      <c r="G216" t="str">
        <f t="shared" si="6"/>
        <v/>
      </c>
      <c r="H216" t="str">
        <f t="shared" ca="1" si="7"/>
        <v/>
      </c>
    </row>
    <row r="217" spans="3:8" x14ac:dyDescent="0.25">
      <c r="C217" t="str">
        <f>IF(B217="","",IFERROR(INDEX(المبيعات!$C:$C,MATCH(B217,المبيعات!$A:$A,0)),""))</f>
        <v/>
      </c>
      <c r="F217" t="str">
        <f>IF(A217="","",SUMIFS(التحصيلات!$E:$E, التحصيلات!$J:$J, A217))</f>
        <v/>
      </c>
      <c r="G217" t="str">
        <f t="shared" si="6"/>
        <v/>
      </c>
      <c r="H217" t="str">
        <f t="shared" ca="1" si="7"/>
        <v/>
      </c>
    </row>
    <row r="218" spans="3:8" x14ac:dyDescent="0.25">
      <c r="C218" t="str">
        <f>IF(B218="","",IFERROR(INDEX(المبيعات!$C:$C,MATCH(B218,المبيعات!$A:$A,0)),""))</f>
        <v/>
      </c>
      <c r="F218" t="str">
        <f>IF(A218="","",SUMIFS(التحصيلات!$E:$E, التحصيلات!$J:$J, A218))</f>
        <v/>
      </c>
      <c r="G218" t="str">
        <f t="shared" si="6"/>
        <v/>
      </c>
      <c r="H218" t="str">
        <f t="shared" ca="1" si="7"/>
        <v/>
      </c>
    </row>
    <row r="219" spans="3:8" x14ac:dyDescent="0.25">
      <c r="C219" t="str">
        <f>IF(B219="","",IFERROR(INDEX(المبيعات!$C:$C,MATCH(B219,المبيعات!$A:$A,0)),""))</f>
        <v/>
      </c>
      <c r="F219" t="str">
        <f>IF(A219="","",SUMIFS(التحصيلات!$E:$E, التحصيلات!$J:$J, A219))</f>
        <v/>
      </c>
      <c r="G219" t="str">
        <f t="shared" si="6"/>
        <v/>
      </c>
      <c r="H219" t="str">
        <f t="shared" ca="1" si="7"/>
        <v/>
      </c>
    </row>
    <row r="220" spans="3:8" x14ac:dyDescent="0.25">
      <c r="C220" t="str">
        <f>IF(B220="","",IFERROR(INDEX(المبيعات!$C:$C,MATCH(B220,المبيعات!$A:$A,0)),""))</f>
        <v/>
      </c>
      <c r="F220" t="str">
        <f>IF(A220="","",SUMIFS(التحصيلات!$E:$E, التحصيلات!$J:$J, A220))</f>
        <v/>
      </c>
      <c r="G220" t="str">
        <f t="shared" si="6"/>
        <v/>
      </c>
      <c r="H220" t="str">
        <f t="shared" ca="1" si="7"/>
        <v/>
      </c>
    </row>
    <row r="221" spans="3:8" x14ac:dyDescent="0.25">
      <c r="C221" t="str">
        <f>IF(B221="","",IFERROR(INDEX(المبيعات!$C:$C,MATCH(B221,المبيعات!$A:$A,0)),""))</f>
        <v/>
      </c>
      <c r="F221" t="str">
        <f>IF(A221="","",SUMIFS(التحصيلات!$E:$E, التحصيلات!$J:$J, A221))</f>
        <v/>
      </c>
      <c r="G221" t="str">
        <f t="shared" si="6"/>
        <v/>
      </c>
      <c r="H221" t="str">
        <f t="shared" ca="1" si="7"/>
        <v/>
      </c>
    </row>
    <row r="222" spans="3:8" x14ac:dyDescent="0.25">
      <c r="C222" t="str">
        <f>IF(B222="","",IFERROR(INDEX(المبيعات!$C:$C,MATCH(B222,المبيعات!$A:$A,0)),""))</f>
        <v/>
      </c>
      <c r="F222" t="str">
        <f>IF(A222="","",SUMIFS(التحصيلات!$E:$E, التحصيلات!$J:$J, A222))</f>
        <v/>
      </c>
      <c r="G222" t="str">
        <f t="shared" si="6"/>
        <v/>
      </c>
      <c r="H222" t="str">
        <f t="shared" ca="1" si="7"/>
        <v/>
      </c>
    </row>
    <row r="223" spans="3:8" x14ac:dyDescent="0.25">
      <c r="C223" t="str">
        <f>IF(B223="","",IFERROR(INDEX(المبيعات!$C:$C,MATCH(B223,المبيعات!$A:$A,0)),""))</f>
        <v/>
      </c>
      <c r="F223" t="str">
        <f>IF(A223="","",SUMIFS(التحصيلات!$E:$E, التحصيلات!$J:$J, A223))</f>
        <v/>
      </c>
      <c r="G223" t="str">
        <f t="shared" si="6"/>
        <v/>
      </c>
      <c r="H223" t="str">
        <f t="shared" ca="1" si="7"/>
        <v/>
      </c>
    </row>
    <row r="224" spans="3:8" x14ac:dyDescent="0.25">
      <c r="C224" t="str">
        <f>IF(B224="","",IFERROR(INDEX(المبيعات!$C:$C,MATCH(B224,المبيعات!$A:$A,0)),""))</f>
        <v/>
      </c>
      <c r="F224" t="str">
        <f>IF(A224="","",SUMIFS(التحصيلات!$E:$E, التحصيلات!$J:$J, A224))</f>
        <v/>
      </c>
      <c r="G224" t="str">
        <f t="shared" si="6"/>
        <v/>
      </c>
      <c r="H224" t="str">
        <f t="shared" ca="1" si="7"/>
        <v/>
      </c>
    </row>
    <row r="225" spans="3:8" x14ac:dyDescent="0.25">
      <c r="C225" t="str">
        <f>IF(B225="","",IFERROR(INDEX(المبيعات!$C:$C,MATCH(B225,المبيعات!$A:$A,0)),""))</f>
        <v/>
      </c>
      <c r="F225" t="str">
        <f>IF(A225="","",SUMIFS(التحصيلات!$E:$E, التحصيلات!$J:$J, A225))</f>
        <v/>
      </c>
      <c r="G225" t="str">
        <f t="shared" si="6"/>
        <v/>
      </c>
      <c r="H225" t="str">
        <f t="shared" ca="1" si="7"/>
        <v/>
      </c>
    </row>
    <row r="226" spans="3:8" x14ac:dyDescent="0.25">
      <c r="C226" t="str">
        <f>IF(B226="","",IFERROR(INDEX(المبيعات!$C:$C,MATCH(B226,المبيعات!$A:$A,0)),""))</f>
        <v/>
      </c>
      <c r="F226" t="str">
        <f>IF(A226="","",SUMIFS(التحصيلات!$E:$E, التحصيلات!$J:$J, A226))</f>
        <v/>
      </c>
      <c r="G226" t="str">
        <f t="shared" si="6"/>
        <v/>
      </c>
      <c r="H226" t="str">
        <f t="shared" ca="1" si="7"/>
        <v/>
      </c>
    </row>
    <row r="227" spans="3:8" x14ac:dyDescent="0.25">
      <c r="C227" t="str">
        <f>IF(B227="","",IFERROR(INDEX(المبيعات!$C:$C,MATCH(B227,المبيعات!$A:$A,0)),""))</f>
        <v/>
      </c>
      <c r="F227" t="str">
        <f>IF(A227="","",SUMIFS(التحصيلات!$E:$E, التحصيلات!$J:$J, A227))</f>
        <v/>
      </c>
      <c r="G227" t="str">
        <f t="shared" si="6"/>
        <v/>
      </c>
      <c r="H227" t="str">
        <f t="shared" ca="1" si="7"/>
        <v/>
      </c>
    </row>
    <row r="228" spans="3:8" x14ac:dyDescent="0.25">
      <c r="C228" t="str">
        <f>IF(B228="","",IFERROR(INDEX(المبيعات!$C:$C,MATCH(B228,المبيعات!$A:$A,0)),""))</f>
        <v/>
      </c>
      <c r="F228" t="str">
        <f>IF(A228="","",SUMIFS(التحصيلات!$E:$E, التحصيلات!$J:$J, A228))</f>
        <v/>
      </c>
      <c r="G228" t="str">
        <f t="shared" si="6"/>
        <v/>
      </c>
      <c r="H228" t="str">
        <f t="shared" ca="1" si="7"/>
        <v/>
      </c>
    </row>
    <row r="229" spans="3:8" x14ac:dyDescent="0.25">
      <c r="C229" t="str">
        <f>IF(B229="","",IFERROR(INDEX(المبيعات!$C:$C,MATCH(B229,المبيعات!$A:$A,0)),""))</f>
        <v/>
      </c>
      <c r="F229" t="str">
        <f>IF(A229="","",SUMIFS(التحصيلات!$E:$E, التحصيلات!$J:$J, A229))</f>
        <v/>
      </c>
      <c r="G229" t="str">
        <f t="shared" si="6"/>
        <v/>
      </c>
      <c r="H229" t="str">
        <f t="shared" ca="1" si="7"/>
        <v/>
      </c>
    </row>
    <row r="230" spans="3:8" x14ac:dyDescent="0.25">
      <c r="C230" t="str">
        <f>IF(B230="","",IFERROR(INDEX(المبيعات!$C:$C,MATCH(B230,المبيعات!$A:$A,0)),""))</f>
        <v/>
      </c>
      <c r="F230" t="str">
        <f>IF(A230="","",SUMIFS(التحصيلات!$E:$E, التحصيلات!$J:$J, A230))</f>
        <v/>
      </c>
      <c r="G230" t="str">
        <f t="shared" si="6"/>
        <v/>
      </c>
      <c r="H230" t="str">
        <f t="shared" ca="1" si="7"/>
        <v/>
      </c>
    </row>
    <row r="231" spans="3:8" x14ac:dyDescent="0.25">
      <c r="C231" t="str">
        <f>IF(B231="","",IFERROR(INDEX(المبيعات!$C:$C,MATCH(B231,المبيعات!$A:$A,0)),""))</f>
        <v/>
      </c>
      <c r="F231" t="str">
        <f>IF(A231="","",SUMIFS(التحصيلات!$E:$E, التحصيلات!$J:$J, A231))</f>
        <v/>
      </c>
      <c r="G231" t="str">
        <f t="shared" si="6"/>
        <v/>
      </c>
      <c r="H231" t="str">
        <f t="shared" ca="1" si="7"/>
        <v/>
      </c>
    </row>
    <row r="232" spans="3:8" x14ac:dyDescent="0.25">
      <c r="C232" t="str">
        <f>IF(B232="","",IFERROR(INDEX(المبيعات!$C:$C,MATCH(B232,المبيعات!$A:$A,0)),""))</f>
        <v/>
      </c>
      <c r="F232" t="str">
        <f>IF(A232="","",SUMIFS(التحصيلات!$E:$E, التحصيلات!$J:$J, A232))</f>
        <v/>
      </c>
      <c r="G232" t="str">
        <f t="shared" si="6"/>
        <v/>
      </c>
      <c r="H232" t="str">
        <f t="shared" ca="1" si="7"/>
        <v/>
      </c>
    </row>
    <row r="233" spans="3:8" x14ac:dyDescent="0.25">
      <c r="C233" t="str">
        <f>IF(B233="","",IFERROR(INDEX(المبيعات!$C:$C,MATCH(B233,المبيعات!$A:$A,0)),""))</f>
        <v/>
      </c>
      <c r="F233" t="str">
        <f>IF(A233="","",SUMIFS(التحصيلات!$E:$E, التحصيلات!$J:$J, A233))</f>
        <v/>
      </c>
      <c r="G233" t="str">
        <f t="shared" si="6"/>
        <v/>
      </c>
      <c r="H233" t="str">
        <f t="shared" ca="1" si="7"/>
        <v/>
      </c>
    </row>
    <row r="234" spans="3:8" x14ac:dyDescent="0.25">
      <c r="C234" t="str">
        <f>IF(B234="","",IFERROR(INDEX(المبيعات!$C:$C,MATCH(B234,المبيعات!$A:$A,0)),""))</f>
        <v/>
      </c>
      <c r="F234" t="str">
        <f>IF(A234="","",SUMIFS(التحصيلات!$E:$E, التحصيلات!$J:$J, A234))</f>
        <v/>
      </c>
      <c r="G234" t="str">
        <f t="shared" si="6"/>
        <v/>
      </c>
      <c r="H234" t="str">
        <f t="shared" ca="1" si="7"/>
        <v/>
      </c>
    </row>
    <row r="235" spans="3:8" x14ac:dyDescent="0.25">
      <c r="C235" t="str">
        <f>IF(B235="","",IFERROR(INDEX(المبيعات!$C:$C,MATCH(B235,المبيعات!$A:$A,0)),""))</f>
        <v/>
      </c>
      <c r="F235" t="str">
        <f>IF(A235="","",SUMIFS(التحصيلات!$E:$E, التحصيلات!$J:$J, A235))</f>
        <v/>
      </c>
      <c r="G235" t="str">
        <f t="shared" si="6"/>
        <v/>
      </c>
      <c r="H235" t="str">
        <f t="shared" ca="1" si="7"/>
        <v/>
      </c>
    </row>
    <row r="236" spans="3:8" x14ac:dyDescent="0.25">
      <c r="C236" t="str">
        <f>IF(B236="","",IFERROR(INDEX(المبيعات!$C:$C,MATCH(B236,المبيعات!$A:$A,0)),""))</f>
        <v/>
      </c>
      <c r="F236" t="str">
        <f>IF(A236="","",SUMIFS(التحصيلات!$E:$E, التحصيلات!$J:$J, A236))</f>
        <v/>
      </c>
      <c r="G236" t="str">
        <f t="shared" si="6"/>
        <v/>
      </c>
      <c r="H236" t="str">
        <f t="shared" ca="1" si="7"/>
        <v/>
      </c>
    </row>
    <row r="237" spans="3:8" x14ac:dyDescent="0.25">
      <c r="C237" t="str">
        <f>IF(B237="","",IFERROR(INDEX(المبيعات!$C:$C,MATCH(B237,المبيعات!$A:$A,0)),""))</f>
        <v/>
      </c>
      <c r="F237" t="str">
        <f>IF(A237="","",SUMIFS(التحصيلات!$E:$E, التحصيلات!$J:$J, A237))</f>
        <v/>
      </c>
      <c r="G237" t="str">
        <f t="shared" si="6"/>
        <v/>
      </c>
      <c r="H237" t="str">
        <f t="shared" ca="1" si="7"/>
        <v/>
      </c>
    </row>
    <row r="238" spans="3:8" x14ac:dyDescent="0.25">
      <c r="C238" t="str">
        <f>IF(B238="","",IFERROR(INDEX(المبيعات!$C:$C,MATCH(B238,المبيعات!$A:$A,0)),""))</f>
        <v/>
      </c>
      <c r="F238" t="str">
        <f>IF(A238="","",SUMIFS(التحصيلات!$E:$E, التحصيلات!$J:$J, A238))</f>
        <v/>
      </c>
      <c r="G238" t="str">
        <f t="shared" si="6"/>
        <v/>
      </c>
      <c r="H238" t="str">
        <f t="shared" ca="1" si="7"/>
        <v/>
      </c>
    </row>
    <row r="239" spans="3:8" x14ac:dyDescent="0.25">
      <c r="C239" t="str">
        <f>IF(B239="","",IFERROR(INDEX(المبيعات!$C:$C,MATCH(B239,المبيعات!$A:$A,0)),""))</f>
        <v/>
      </c>
      <c r="F239" t="str">
        <f>IF(A239="","",SUMIFS(التحصيلات!$E:$E, التحصيلات!$J:$J, A239))</f>
        <v/>
      </c>
      <c r="G239" t="str">
        <f t="shared" si="6"/>
        <v/>
      </c>
      <c r="H239" t="str">
        <f t="shared" ca="1" si="7"/>
        <v/>
      </c>
    </row>
    <row r="240" spans="3:8" x14ac:dyDescent="0.25">
      <c r="C240" t="str">
        <f>IF(B240="","",IFERROR(INDEX(المبيعات!$C:$C,MATCH(B240,المبيعات!$A:$A,0)),""))</f>
        <v/>
      </c>
      <c r="F240" t="str">
        <f>IF(A240="","",SUMIFS(التحصيلات!$E:$E, التحصيلات!$J:$J, A240))</f>
        <v/>
      </c>
      <c r="G240" t="str">
        <f t="shared" si="6"/>
        <v/>
      </c>
      <c r="H240" t="str">
        <f t="shared" ca="1" si="7"/>
        <v/>
      </c>
    </row>
    <row r="241" spans="3:8" x14ac:dyDescent="0.25">
      <c r="C241" t="str">
        <f>IF(B241="","",IFERROR(INDEX(المبيعات!$C:$C,MATCH(B241,المبيعات!$A:$A,0)),""))</f>
        <v/>
      </c>
      <c r="F241" t="str">
        <f>IF(A241="","",SUMIFS(التحصيلات!$E:$E, التحصيلات!$J:$J, A241))</f>
        <v/>
      </c>
      <c r="G241" t="str">
        <f t="shared" si="6"/>
        <v/>
      </c>
      <c r="H241" t="str">
        <f t="shared" ca="1" si="7"/>
        <v/>
      </c>
    </row>
    <row r="242" spans="3:8" x14ac:dyDescent="0.25">
      <c r="C242" t="str">
        <f>IF(B242="","",IFERROR(INDEX(المبيعات!$C:$C,MATCH(B242,المبيعات!$A:$A,0)),""))</f>
        <v/>
      </c>
      <c r="F242" t="str">
        <f>IF(A242="","",SUMIFS(التحصيلات!$E:$E, التحصيلات!$J:$J, A242))</f>
        <v/>
      </c>
      <c r="G242" t="str">
        <f t="shared" si="6"/>
        <v/>
      </c>
      <c r="H242" t="str">
        <f t="shared" ca="1" si="7"/>
        <v/>
      </c>
    </row>
    <row r="243" spans="3:8" x14ac:dyDescent="0.25">
      <c r="C243" t="str">
        <f>IF(B243="","",IFERROR(INDEX(المبيعات!$C:$C,MATCH(B243,المبيعات!$A:$A,0)),""))</f>
        <v/>
      </c>
      <c r="F243" t="str">
        <f>IF(A243="","",SUMIFS(التحصيلات!$E:$E, التحصيلات!$J:$J, A243))</f>
        <v/>
      </c>
      <c r="G243" t="str">
        <f t="shared" si="6"/>
        <v/>
      </c>
      <c r="H243" t="str">
        <f t="shared" ca="1" si="7"/>
        <v/>
      </c>
    </row>
    <row r="244" spans="3:8" x14ac:dyDescent="0.25">
      <c r="C244" t="str">
        <f>IF(B244="","",IFERROR(INDEX(المبيعات!$C:$C,MATCH(B244,المبيعات!$A:$A,0)),""))</f>
        <v/>
      </c>
      <c r="F244" t="str">
        <f>IF(A244="","",SUMIFS(التحصيلات!$E:$E, التحصيلات!$J:$J, A244))</f>
        <v/>
      </c>
      <c r="G244" t="str">
        <f t="shared" si="6"/>
        <v/>
      </c>
      <c r="H244" t="str">
        <f t="shared" ca="1" si="7"/>
        <v/>
      </c>
    </row>
    <row r="245" spans="3:8" x14ac:dyDescent="0.25">
      <c r="C245" t="str">
        <f>IF(B245="","",IFERROR(INDEX(المبيعات!$C:$C,MATCH(B245,المبيعات!$A:$A,0)),""))</f>
        <v/>
      </c>
      <c r="F245" t="str">
        <f>IF(A245="","",SUMIFS(التحصيلات!$E:$E, التحصيلات!$J:$J, A245))</f>
        <v/>
      </c>
      <c r="G245" t="str">
        <f t="shared" si="6"/>
        <v/>
      </c>
      <c r="H245" t="str">
        <f t="shared" ca="1" si="7"/>
        <v/>
      </c>
    </row>
    <row r="246" spans="3:8" x14ac:dyDescent="0.25">
      <c r="C246" t="str">
        <f>IF(B246="","",IFERROR(INDEX(المبيعات!$C:$C,MATCH(B246,المبيعات!$A:$A,0)),""))</f>
        <v/>
      </c>
      <c r="F246" t="str">
        <f>IF(A246="","",SUMIFS(التحصيلات!$E:$E, التحصيلات!$J:$J, A246))</f>
        <v/>
      </c>
      <c r="G246" t="str">
        <f t="shared" si="6"/>
        <v/>
      </c>
      <c r="H246" t="str">
        <f t="shared" ca="1" si="7"/>
        <v/>
      </c>
    </row>
    <row r="247" spans="3:8" x14ac:dyDescent="0.25">
      <c r="C247" t="str">
        <f>IF(B247="","",IFERROR(INDEX(المبيعات!$C:$C,MATCH(B247,المبيعات!$A:$A,0)),""))</f>
        <v/>
      </c>
      <c r="F247" t="str">
        <f>IF(A247="","",SUMIFS(التحصيلات!$E:$E, التحصيلات!$J:$J, A247))</f>
        <v/>
      </c>
      <c r="G247" t="str">
        <f t="shared" si="6"/>
        <v/>
      </c>
      <c r="H247" t="str">
        <f t="shared" ca="1" si="7"/>
        <v/>
      </c>
    </row>
    <row r="248" spans="3:8" x14ac:dyDescent="0.25">
      <c r="C248" t="str">
        <f>IF(B248="","",IFERROR(INDEX(المبيعات!$C:$C,MATCH(B248,المبيعات!$A:$A,0)),""))</f>
        <v/>
      </c>
      <c r="F248" t="str">
        <f>IF(A248="","",SUMIFS(التحصيلات!$E:$E, التحصيلات!$J:$J, A248))</f>
        <v/>
      </c>
      <c r="G248" t="str">
        <f t="shared" si="6"/>
        <v/>
      </c>
      <c r="H248" t="str">
        <f t="shared" ca="1" si="7"/>
        <v/>
      </c>
    </row>
    <row r="249" spans="3:8" x14ac:dyDescent="0.25">
      <c r="C249" t="str">
        <f>IF(B249="","",IFERROR(INDEX(المبيعات!$C:$C,MATCH(B249,المبيعات!$A:$A,0)),""))</f>
        <v/>
      </c>
      <c r="F249" t="str">
        <f>IF(A249="","",SUMIFS(التحصيلات!$E:$E, التحصيلات!$J:$J, A249))</f>
        <v/>
      </c>
      <c r="G249" t="str">
        <f t="shared" si="6"/>
        <v/>
      </c>
      <c r="H249" t="str">
        <f t="shared" ca="1" si="7"/>
        <v/>
      </c>
    </row>
    <row r="250" spans="3:8" x14ac:dyDescent="0.25">
      <c r="C250" t="str">
        <f>IF(B250="","",IFERROR(INDEX(المبيعات!$C:$C,MATCH(B250,المبيعات!$A:$A,0)),""))</f>
        <v/>
      </c>
      <c r="F250" t="str">
        <f>IF(A250="","",SUMIFS(التحصيلات!$E:$E, التحصيلات!$J:$J, A250))</f>
        <v/>
      </c>
      <c r="G250" t="str">
        <f t="shared" si="6"/>
        <v/>
      </c>
      <c r="H250" t="str">
        <f t="shared" ca="1" si="7"/>
        <v/>
      </c>
    </row>
    <row r="251" spans="3:8" x14ac:dyDescent="0.25">
      <c r="C251" t="str">
        <f>IF(B251="","",IFERROR(INDEX(المبيعات!$C:$C,MATCH(B251,المبيعات!$A:$A,0)),""))</f>
        <v/>
      </c>
      <c r="F251" t="str">
        <f>IF(A251="","",SUMIFS(التحصيلات!$E:$E, التحصيلات!$J:$J, A251))</f>
        <v/>
      </c>
      <c r="G251" t="str">
        <f t="shared" si="6"/>
        <v/>
      </c>
      <c r="H251" t="str">
        <f t="shared" ca="1" si="7"/>
        <v/>
      </c>
    </row>
    <row r="252" spans="3:8" x14ac:dyDescent="0.25">
      <c r="C252" t="str">
        <f>IF(B252="","",IFERROR(INDEX(المبيعات!$C:$C,MATCH(B252,المبيعات!$A:$A,0)),""))</f>
        <v/>
      </c>
      <c r="F252" t="str">
        <f>IF(A252="","",SUMIFS(التحصيلات!$E:$E, التحصيلات!$J:$J, A252))</f>
        <v/>
      </c>
      <c r="G252" t="str">
        <f t="shared" si="6"/>
        <v/>
      </c>
      <c r="H252" t="str">
        <f t="shared" ca="1" si="7"/>
        <v/>
      </c>
    </row>
    <row r="253" spans="3:8" x14ac:dyDescent="0.25">
      <c r="C253" t="str">
        <f>IF(B253="","",IFERROR(INDEX(المبيعات!$C:$C,MATCH(B253,المبيعات!$A:$A,0)),""))</f>
        <v/>
      </c>
      <c r="F253" t="str">
        <f>IF(A253="","",SUMIFS(التحصيلات!$E:$E, التحصيلات!$J:$J, A253))</f>
        <v/>
      </c>
      <c r="G253" t="str">
        <f t="shared" si="6"/>
        <v/>
      </c>
      <c r="H253" t="str">
        <f t="shared" ca="1" si="7"/>
        <v/>
      </c>
    </row>
    <row r="254" spans="3:8" x14ac:dyDescent="0.25">
      <c r="C254" t="str">
        <f>IF(B254="","",IFERROR(INDEX(المبيعات!$C:$C,MATCH(B254,المبيعات!$A:$A,0)),""))</f>
        <v/>
      </c>
      <c r="F254" t="str">
        <f>IF(A254="","",SUMIFS(التحصيلات!$E:$E, التحصيلات!$J:$J, A254))</f>
        <v/>
      </c>
      <c r="G254" t="str">
        <f t="shared" si="6"/>
        <v/>
      </c>
      <c r="H254" t="str">
        <f t="shared" ca="1" si="7"/>
        <v/>
      </c>
    </row>
    <row r="255" spans="3:8" x14ac:dyDescent="0.25">
      <c r="C255" t="str">
        <f>IF(B255="","",IFERROR(INDEX(المبيعات!$C:$C,MATCH(B255,المبيعات!$A:$A,0)),""))</f>
        <v/>
      </c>
      <c r="F255" t="str">
        <f>IF(A255="","",SUMIFS(التحصيلات!$E:$E, التحصيلات!$J:$J, A255))</f>
        <v/>
      </c>
      <c r="G255" t="str">
        <f t="shared" si="6"/>
        <v/>
      </c>
      <c r="H255" t="str">
        <f t="shared" ca="1" si="7"/>
        <v/>
      </c>
    </row>
    <row r="256" spans="3:8" x14ac:dyDescent="0.25">
      <c r="C256" t="str">
        <f>IF(B256="","",IFERROR(INDEX(المبيعات!$C:$C,MATCH(B256,المبيعات!$A:$A,0)),""))</f>
        <v/>
      </c>
      <c r="F256" t="str">
        <f>IF(A256="","",SUMIFS(التحصيلات!$E:$E, التحصيلات!$J:$J, A256))</f>
        <v/>
      </c>
      <c r="G256" t="str">
        <f t="shared" si="6"/>
        <v/>
      </c>
      <c r="H256" t="str">
        <f t="shared" ca="1" si="7"/>
        <v/>
      </c>
    </row>
    <row r="257" spans="3:8" x14ac:dyDescent="0.25">
      <c r="C257" t="str">
        <f>IF(B257="","",IFERROR(INDEX(المبيعات!$C:$C,MATCH(B257,المبيعات!$A:$A,0)),""))</f>
        <v/>
      </c>
      <c r="F257" t="str">
        <f>IF(A257="","",SUMIFS(التحصيلات!$E:$E, التحصيلات!$J:$J, A257))</f>
        <v/>
      </c>
      <c r="G257" t="str">
        <f t="shared" si="6"/>
        <v/>
      </c>
      <c r="H257" t="str">
        <f t="shared" ca="1" si="7"/>
        <v/>
      </c>
    </row>
    <row r="258" spans="3:8" x14ac:dyDescent="0.25">
      <c r="C258" t="str">
        <f>IF(B258="","",IFERROR(INDEX(المبيعات!$C:$C,MATCH(B258,المبيعات!$A:$A,0)),""))</f>
        <v/>
      </c>
      <c r="F258" t="str">
        <f>IF(A258="","",SUMIFS(التحصيلات!$E:$E, التحصيلات!$J:$J, A258))</f>
        <v/>
      </c>
      <c r="G258" t="str">
        <f t="shared" si="6"/>
        <v/>
      </c>
      <c r="H258" t="str">
        <f t="shared" ca="1" si="7"/>
        <v/>
      </c>
    </row>
    <row r="259" spans="3:8" x14ac:dyDescent="0.25">
      <c r="C259" t="str">
        <f>IF(B259="","",IFERROR(INDEX(المبيعات!$C:$C,MATCH(B259,المبيعات!$A:$A,0)),""))</f>
        <v/>
      </c>
      <c r="F259" t="str">
        <f>IF(A259="","",SUMIFS(التحصيلات!$E:$E, التحصيلات!$J:$J, A259))</f>
        <v/>
      </c>
      <c r="G259" t="str">
        <f t="shared" ref="G259:G322" si="8">IF(A259="","", E259 - F259)</f>
        <v/>
      </c>
      <c r="H259" t="str">
        <f t="shared" ref="H259:H322" ca="1" si="9">IF(A259="","",IF(ROUND(G259,2)&lt;=0,"مدفوع",IF(ROUND(F259,2)&gt;0,"مدفوع جزئياً",IF(AND(D259&lt;&gt;"",D259&lt;TODAY()),"متأخر","مستحق"))))</f>
        <v/>
      </c>
    </row>
    <row r="260" spans="3:8" x14ac:dyDescent="0.25">
      <c r="C260" t="str">
        <f>IF(B260="","",IFERROR(INDEX(المبيعات!$C:$C,MATCH(B260,المبيعات!$A:$A,0)),""))</f>
        <v/>
      </c>
      <c r="F260" t="str">
        <f>IF(A260="","",SUMIFS(التحصيلات!$E:$E, التحصيلات!$J:$J, A260))</f>
        <v/>
      </c>
      <c r="G260" t="str">
        <f t="shared" si="8"/>
        <v/>
      </c>
      <c r="H260" t="str">
        <f t="shared" ca="1" si="9"/>
        <v/>
      </c>
    </row>
    <row r="261" spans="3:8" x14ac:dyDescent="0.25">
      <c r="C261" t="str">
        <f>IF(B261="","",IFERROR(INDEX(المبيعات!$C:$C,MATCH(B261,المبيعات!$A:$A,0)),""))</f>
        <v/>
      </c>
      <c r="F261" t="str">
        <f>IF(A261="","",SUMIFS(التحصيلات!$E:$E, التحصيلات!$J:$J, A261))</f>
        <v/>
      </c>
      <c r="G261" t="str">
        <f t="shared" si="8"/>
        <v/>
      </c>
      <c r="H261" t="str">
        <f t="shared" ca="1" si="9"/>
        <v/>
      </c>
    </row>
    <row r="262" spans="3:8" x14ac:dyDescent="0.25">
      <c r="C262" t="str">
        <f>IF(B262="","",IFERROR(INDEX(المبيعات!$C:$C,MATCH(B262,المبيعات!$A:$A,0)),""))</f>
        <v/>
      </c>
      <c r="F262" t="str">
        <f>IF(A262="","",SUMIFS(التحصيلات!$E:$E, التحصيلات!$J:$J, A262))</f>
        <v/>
      </c>
      <c r="G262" t="str">
        <f t="shared" si="8"/>
        <v/>
      </c>
      <c r="H262" t="str">
        <f t="shared" ca="1" si="9"/>
        <v/>
      </c>
    </row>
    <row r="263" spans="3:8" x14ac:dyDescent="0.25">
      <c r="C263" t="str">
        <f>IF(B263="","",IFERROR(INDEX(المبيعات!$C:$C,MATCH(B263,المبيعات!$A:$A,0)),""))</f>
        <v/>
      </c>
      <c r="F263" t="str">
        <f>IF(A263="","",SUMIFS(التحصيلات!$E:$E, التحصيلات!$J:$J, A263))</f>
        <v/>
      </c>
      <c r="G263" t="str">
        <f t="shared" si="8"/>
        <v/>
      </c>
      <c r="H263" t="str">
        <f t="shared" ca="1" si="9"/>
        <v/>
      </c>
    </row>
    <row r="264" spans="3:8" x14ac:dyDescent="0.25">
      <c r="C264" t="str">
        <f>IF(B264="","",IFERROR(INDEX(المبيعات!$C:$C,MATCH(B264,المبيعات!$A:$A,0)),""))</f>
        <v/>
      </c>
      <c r="F264" t="str">
        <f>IF(A264="","",SUMIFS(التحصيلات!$E:$E, التحصيلات!$J:$J, A264))</f>
        <v/>
      </c>
      <c r="G264" t="str">
        <f t="shared" si="8"/>
        <v/>
      </c>
      <c r="H264" t="str">
        <f t="shared" ca="1" si="9"/>
        <v/>
      </c>
    </row>
    <row r="265" spans="3:8" x14ac:dyDescent="0.25">
      <c r="C265" t="str">
        <f>IF(B265="","",IFERROR(INDEX(المبيعات!$C:$C,MATCH(B265,المبيعات!$A:$A,0)),""))</f>
        <v/>
      </c>
      <c r="F265" t="str">
        <f>IF(A265="","",SUMIFS(التحصيلات!$E:$E, التحصيلات!$J:$J, A265))</f>
        <v/>
      </c>
      <c r="G265" t="str">
        <f t="shared" si="8"/>
        <v/>
      </c>
      <c r="H265" t="str">
        <f t="shared" ca="1" si="9"/>
        <v/>
      </c>
    </row>
    <row r="266" spans="3:8" x14ac:dyDescent="0.25">
      <c r="C266" t="str">
        <f>IF(B266="","",IFERROR(INDEX(المبيعات!$C:$C,MATCH(B266,المبيعات!$A:$A,0)),""))</f>
        <v/>
      </c>
      <c r="F266" t="str">
        <f>IF(A266="","",SUMIFS(التحصيلات!$E:$E, التحصيلات!$J:$J, A266))</f>
        <v/>
      </c>
      <c r="G266" t="str">
        <f t="shared" si="8"/>
        <v/>
      </c>
      <c r="H266" t="str">
        <f t="shared" ca="1" si="9"/>
        <v/>
      </c>
    </row>
    <row r="267" spans="3:8" x14ac:dyDescent="0.25">
      <c r="C267" t="str">
        <f>IF(B267="","",IFERROR(INDEX(المبيعات!$C:$C,MATCH(B267,المبيعات!$A:$A,0)),""))</f>
        <v/>
      </c>
      <c r="F267" t="str">
        <f>IF(A267="","",SUMIFS(التحصيلات!$E:$E, التحصيلات!$J:$J, A267))</f>
        <v/>
      </c>
      <c r="G267" t="str">
        <f t="shared" si="8"/>
        <v/>
      </c>
      <c r="H267" t="str">
        <f t="shared" ca="1" si="9"/>
        <v/>
      </c>
    </row>
    <row r="268" spans="3:8" x14ac:dyDescent="0.25">
      <c r="C268" t="str">
        <f>IF(B268="","",IFERROR(INDEX(المبيعات!$C:$C,MATCH(B268,المبيعات!$A:$A,0)),""))</f>
        <v/>
      </c>
      <c r="F268" t="str">
        <f>IF(A268="","",SUMIFS(التحصيلات!$E:$E, التحصيلات!$J:$J, A268))</f>
        <v/>
      </c>
      <c r="G268" t="str">
        <f t="shared" si="8"/>
        <v/>
      </c>
      <c r="H268" t="str">
        <f t="shared" ca="1" si="9"/>
        <v/>
      </c>
    </row>
    <row r="269" spans="3:8" x14ac:dyDescent="0.25">
      <c r="C269" t="str">
        <f>IF(B269="","",IFERROR(INDEX(المبيعات!$C:$C,MATCH(B269,المبيعات!$A:$A,0)),""))</f>
        <v/>
      </c>
      <c r="F269" t="str">
        <f>IF(A269="","",SUMIFS(التحصيلات!$E:$E, التحصيلات!$J:$J, A269))</f>
        <v/>
      </c>
      <c r="G269" t="str">
        <f t="shared" si="8"/>
        <v/>
      </c>
      <c r="H269" t="str">
        <f t="shared" ca="1" si="9"/>
        <v/>
      </c>
    </row>
    <row r="270" spans="3:8" x14ac:dyDescent="0.25">
      <c r="C270" t="str">
        <f>IF(B270="","",IFERROR(INDEX(المبيعات!$C:$C,MATCH(B270,المبيعات!$A:$A,0)),""))</f>
        <v/>
      </c>
      <c r="F270" t="str">
        <f>IF(A270="","",SUMIFS(التحصيلات!$E:$E, التحصيلات!$J:$J, A270))</f>
        <v/>
      </c>
      <c r="G270" t="str">
        <f t="shared" si="8"/>
        <v/>
      </c>
      <c r="H270" t="str">
        <f t="shared" ca="1" si="9"/>
        <v/>
      </c>
    </row>
    <row r="271" spans="3:8" x14ac:dyDescent="0.25">
      <c r="C271" t="str">
        <f>IF(B271="","",IFERROR(INDEX(المبيعات!$C:$C,MATCH(B271,المبيعات!$A:$A,0)),""))</f>
        <v/>
      </c>
      <c r="F271" t="str">
        <f>IF(A271="","",SUMIFS(التحصيلات!$E:$E, التحصيلات!$J:$J, A271))</f>
        <v/>
      </c>
      <c r="G271" t="str">
        <f t="shared" si="8"/>
        <v/>
      </c>
      <c r="H271" t="str">
        <f t="shared" ca="1" si="9"/>
        <v/>
      </c>
    </row>
    <row r="272" spans="3:8" x14ac:dyDescent="0.25">
      <c r="C272" t="str">
        <f>IF(B272="","",IFERROR(INDEX(المبيعات!$C:$C,MATCH(B272,المبيعات!$A:$A,0)),""))</f>
        <v/>
      </c>
      <c r="F272" t="str">
        <f>IF(A272="","",SUMIFS(التحصيلات!$E:$E, التحصيلات!$J:$J, A272))</f>
        <v/>
      </c>
      <c r="G272" t="str">
        <f t="shared" si="8"/>
        <v/>
      </c>
      <c r="H272" t="str">
        <f t="shared" ca="1" si="9"/>
        <v/>
      </c>
    </row>
    <row r="273" spans="3:8" x14ac:dyDescent="0.25">
      <c r="C273" t="str">
        <f>IF(B273="","",IFERROR(INDEX(المبيعات!$C:$C,MATCH(B273,المبيعات!$A:$A,0)),""))</f>
        <v/>
      </c>
      <c r="F273" t="str">
        <f>IF(A273="","",SUMIFS(التحصيلات!$E:$E, التحصيلات!$J:$J, A273))</f>
        <v/>
      </c>
      <c r="G273" t="str">
        <f t="shared" si="8"/>
        <v/>
      </c>
      <c r="H273" t="str">
        <f t="shared" ca="1" si="9"/>
        <v/>
      </c>
    </row>
    <row r="274" spans="3:8" x14ac:dyDescent="0.25">
      <c r="C274" t="str">
        <f>IF(B274="","",IFERROR(INDEX(المبيعات!$C:$C,MATCH(B274,المبيعات!$A:$A,0)),""))</f>
        <v/>
      </c>
      <c r="F274" t="str">
        <f>IF(A274="","",SUMIFS(التحصيلات!$E:$E, التحصيلات!$J:$J, A274))</f>
        <v/>
      </c>
      <c r="G274" t="str">
        <f t="shared" si="8"/>
        <v/>
      </c>
      <c r="H274" t="str">
        <f t="shared" ca="1" si="9"/>
        <v/>
      </c>
    </row>
    <row r="275" spans="3:8" x14ac:dyDescent="0.25">
      <c r="C275" t="str">
        <f>IF(B275="","",IFERROR(INDEX(المبيعات!$C:$C,MATCH(B275,المبيعات!$A:$A,0)),""))</f>
        <v/>
      </c>
      <c r="F275" t="str">
        <f>IF(A275="","",SUMIFS(التحصيلات!$E:$E, التحصيلات!$J:$J, A275))</f>
        <v/>
      </c>
      <c r="G275" t="str">
        <f t="shared" si="8"/>
        <v/>
      </c>
      <c r="H275" t="str">
        <f t="shared" ca="1" si="9"/>
        <v/>
      </c>
    </row>
    <row r="276" spans="3:8" x14ac:dyDescent="0.25">
      <c r="C276" t="str">
        <f>IF(B276="","",IFERROR(INDEX(المبيعات!$C:$C,MATCH(B276,المبيعات!$A:$A,0)),""))</f>
        <v/>
      </c>
      <c r="F276" t="str">
        <f>IF(A276="","",SUMIFS(التحصيلات!$E:$E, التحصيلات!$J:$J, A276))</f>
        <v/>
      </c>
      <c r="G276" t="str">
        <f t="shared" si="8"/>
        <v/>
      </c>
      <c r="H276" t="str">
        <f t="shared" ca="1" si="9"/>
        <v/>
      </c>
    </row>
    <row r="277" spans="3:8" x14ac:dyDescent="0.25">
      <c r="C277" t="str">
        <f>IF(B277="","",IFERROR(INDEX(المبيعات!$C:$C,MATCH(B277,المبيعات!$A:$A,0)),""))</f>
        <v/>
      </c>
      <c r="F277" t="str">
        <f>IF(A277="","",SUMIFS(التحصيلات!$E:$E, التحصيلات!$J:$J, A277))</f>
        <v/>
      </c>
      <c r="G277" t="str">
        <f t="shared" si="8"/>
        <v/>
      </c>
      <c r="H277" t="str">
        <f t="shared" ca="1" si="9"/>
        <v/>
      </c>
    </row>
    <row r="278" spans="3:8" x14ac:dyDescent="0.25">
      <c r="C278" t="str">
        <f>IF(B278="","",IFERROR(INDEX(المبيعات!$C:$C,MATCH(B278,المبيعات!$A:$A,0)),""))</f>
        <v/>
      </c>
      <c r="F278" t="str">
        <f>IF(A278="","",SUMIFS(التحصيلات!$E:$E, التحصيلات!$J:$J, A278))</f>
        <v/>
      </c>
      <c r="G278" t="str">
        <f t="shared" si="8"/>
        <v/>
      </c>
      <c r="H278" t="str">
        <f t="shared" ca="1" si="9"/>
        <v/>
      </c>
    </row>
    <row r="279" spans="3:8" x14ac:dyDescent="0.25">
      <c r="C279" t="str">
        <f>IF(B279="","",IFERROR(INDEX(المبيعات!$C:$C,MATCH(B279,المبيعات!$A:$A,0)),""))</f>
        <v/>
      </c>
      <c r="F279" t="str">
        <f>IF(A279="","",SUMIFS(التحصيلات!$E:$E, التحصيلات!$J:$J, A279))</f>
        <v/>
      </c>
      <c r="G279" t="str">
        <f t="shared" si="8"/>
        <v/>
      </c>
      <c r="H279" t="str">
        <f t="shared" ca="1" si="9"/>
        <v/>
      </c>
    </row>
    <row r="280" spans="3:8" x14ac:dyDescent="0.25">
      <c r="C280" t="str">
        <f>IF(B280="","",IFERROR(INDEX(المبيعات!$C:$C,MATCH(B280,المبيعات!$A:$A,0)),""))</f>
        <v/>
      </c>
      <c r="F280" t="str">
        <f>IF(A280="","",SUMIFS(التحصيلات!$E:$E, التحصيلات!$J:$J, A280))</f>
        <v/>
      </c>
      <c r="G280" t="str">
        <f t="shared" si="8"/>
        <v/>
      </c>
      <c r="H280" t="str">
        <f t="shared" ca="1" si="9"/>
        <v/>
      </c>
    </row>
    <row r="281" spans="3:8" x14ac:dyDescent="0.25">
      <c r="C281" t="str">
        <f>IF(B281="","",IFERROR(INDEX(المبيعات!$C:$C,MATCH(B281,المبيعات!$A:$A,0)),""))</f>
        <v/>
      </c>
      <c r="F281" t="str">
        <f>IF(A281="","",SUMIFS(التحصيلات!$E:$E, التحصيلات!$J:$J, A281))</f>
        <v/>
      </c>
      <c r="G281" t="str">
        <f t="shared" si="8"/>
        <v/>
      </c>
      <c r="H281" t="str">
        <f t="shared" ca="1" si="9"/>
        <v/>
      </c>
    </row>
    <row r="282" spans="3:8" x14ac:dyDescent="0.25">
      <c r="C282" t="str">
        <f>IF(B282="","",IFERROR(INDEX(المبيعات!$C:$C,MATCH(B282,المبيعات!$A:$A,0)),""))</f>
        <v/>
      </c>
      <c r="F282" t="str">
        <f>IF(A282="","",SUMIFS(التحصيلات!$E:$E, التحصيلات!$J:$J, A282))</f>
        <v/>
      </c>
      <c r="G282" t="str">
        <f t="shared" si="8"/>
        <v/>
      </c>
      <c r="H282" t="str">
        <f t="shared" ca="1" si="9"/>
        <v/>
      </c>
    </row>
    <row r="283" spans="3:8" x14ac:dyDescent="0.25">
      <c r="C283" t="str">
        <f>IF(B283="","",IFERROR(INDEX(المبيعات!$C:$C,MATCH(B283,المبيعات!$A:$A,0)),""))</f>
        <v/>
      </c>
      <c r="F283" t="str">
        <f>IF(A283="","",SUMIFS(التحصيلات!$E:$E, التحصيلات!$J:$J, A283))</f>
        <v/>
      </c>
      <c r="G283" t="str">
        <f t="shared" si="8"/>
        <v/>
      </c>
      <c r="H283" t="str">
        <f t="shared" ca="1" si="9"/>
        <v/>
      </c>
    </row>
    <row r="284" spans="3:8" x14ac:dyDescent="0.25">
      <c r="C284" t="str">
        <f>IF(B284="","",IFERROR(INDEX(المبيعات!$C:$C,MATCH(B284,المبيعات!$A:$A,0)),""))</f>
        <v/>
      </c>
      <c r="F284" t="str">
        <f>IF(A284="","",SUMIFS(التحصيلات!$E:$E, التحصيلات!$J:$J, A284))</f>
        <v/>
      </c>
      <c r="G284" t="str">
        <f t="shared" si="8"/>
        <v/>
      </c>
      <c r="H284" t="str">
        <f t="shared" ca="1" si="9"/>
        <v/>
      </c>
    </row>
    <row r="285" spans="3:8" x14ac:dyDescent="0.25">
      <c r="C285" t="str">
        <f>IF(B285="","",IFERROR(INDEX(المبيعات!$C:$C,MATCH(B285,المبيعات!$A:$A,0)),""))</f>
        <v/>
      </c>
      <c r="F285" t="str">
        <f>IF(A285="","",SUMIFS(التحصيلات!$E:$E, التحصيلات!$J:$J, A285))</f>
        <v/>
      </c>
      <c r="G285" t="str">
        <f t="shared" si="8"/>
        <v/>
      </c>
      <c r="H285" t="str">
        <f t="shared" ca="1" si="9"/>
        <v/>
      </c>
    </row>
    <row r="286" spans="3:8" x14ac:dyDescent="0.25">
      <c r="C286" t="str">
        <f>IF(B286="","",IFERROR(INDEX(المبيعات!$C:$C,MATCH(B286,المبيعات!$A:$A,0)),""))</f>
        <v/>
      </c>
      <c r="F286" t="str">
        <f>IF(A286="","",SUMIFS(التحصيلات!$E:$E, التحصيلات!$J:$J, A286))</f>
        <v/>
      </c>
      <c r="G286" t="str">
        <f t="shared" si="8"/>
        <v/>
      </c>
      <c r="H286" t="str">
        <f t="shared" ca="1" si="9"/>
        <v/>
      </c>
    </row>
    <row r="287" spans="3:8" x14ac:dyDescent="0.25">
      <c r="C287" t="str">
        <f>IF(B287="","",IFERROR(INDEX(المبيعات!$C:$C,MATCH(B287,المبيعات!$A:$A,0)),""))</f>
        <v/>
      </c>
      <c r="F287" t="str">
        <f>IF(A287="","",SUMIFS(التحصيلات!$E:$E, التحصيلات!$J:$J, A287))</f>
        <v/>
      </c>
      <c r="G287" t="str">
        <f t="shared" si="8"/>
        <v/>
      </c>
      <c r="H287" t="str">
        <f t="shared" ca="1" si="9"/>
        <v/>
      </c>
    </row>
    <row r="288" spans="3:8" x14ac:dyDescent="0.25">
      <c r="C288" t="str">
        <f>IF(B288="","",IFERROR(INDEX(المبيعات!$C:$C,MATCH(B288,المبيعات!$A:$A,0)),""))</f>
        <v/>
      </c>
      <c r="F288" t="str">
        <f>IF(A288="","",SUMIFS(التحصيلات!$E:$E, التحصيلات!$J:$J, A288))</f>
        <v/>
      </c>
      <c r="G288" t="str">
        <f t="shared" si="8"/>
        <v/>
      </c>
      <c r="H288" t="str">
        <f t="shared" ca="1" si="9"/>
        <v/>
      </c>
    </row>
    <row r="289" spans="3:8" x14ac:dyDescent="0.25">
      <c r="C289" t="str">
        <f>IF(B289="","",IFERROR(INDEX(المبيعات!$C:$C,MATCH(B289,المبيعات!$A:$A,0)),""))</f>
        <v/>
      </c>
      <c r="F289" t="str">
        <f>IF(A289="","",SUMIFS(التحصيلات!$E:$E, التحصيلات!$J:$J, A289))</f>
        <v/>
      </c>
      <c r="G289" t="str">
        <f t="shared" si="8"/>
        <v/>
      </c>
      <c r="H289" t="str">
        <f t="shared" ca="1" si="9"/>
        <v/>
      </c>
    </row>
    <row r="290" spans="3:8" x14ac:dyDescent="0.25">
      <c r="C290" t="str">
        <f>IF(B290="","",IFERROR(INDEX(المبيعات!$C:$C,MATCH(B290,المبيعات!$A:$A,0)),""))</f>
        <v/>
      </c>
      <c r="F290" t="str">
        <f>IF(A290="","",SUMIFS(التحصيلات!$E:$E, التحصيلات!$J:$J, A290))</f>
        <v/>
      </c>
      <c r="G290" t="str">
        <f t="shared" si="8"/>
        <v/>
      </c>
      <c r="H290" t="str">
        <f t="shared" ca="1" si="9"/>
        <v/>
      </c>
    </row>
    <row r="291" spans="3:8" x14ac:dyDescent="0.25">
      <c r="C291" t="str">
        <f>IF(B291="","",IFERROR(INDEX(المبيعات!$C:$C,MATCH(B291,المبيعات!$A:$A,0)),""))</f>
        <v/>
      </c>
      <c r="F291" t="str">
        <f>IF(A291="","",SUMIFS(التحصيلات!$E:$E, التحصيلات!$J:$J, A291))</f>
        <v/>
      </c>
      <c r="G291" t="str">
        <f t="shared" si="8"/>
        <v/>
      </c>
      <c r="H291" t="str">
        <f t="shared" ca="1" si="9"/>
        <v/>
      </c>
    </row>
    <row r="292" spans="3:8" x14ac:dyDescent="0.25">
      <c r="C292" t="str">
        <f>IF(B292="","",IFERROR(INDEX(المبيعات!$C:$C,MATCH(B292,المبيعات!$A:$A,0)),""))</f>
        <v/>
      </c>
      <c r="F292" t="str">
        <f>IF(A292="","",SUMIFS(التحصيلات!$E:$E, التحصيلات!$J:$J, A292))</f>
        <v/>
      </c>
      <c r="G292" t="str">
        <f t="shared" si="8"/>
        <v/>
      </c>
      <c r="H292" t="str">
        <f t="shared" ca="1" si="9"/>
        <v/>
      </c>
    </row>
    <row r="293" spans="3:8" x14ac:dyDescent="0.25">
      <c r="C293" t="str">
        <f>IF(B293="","",IFERROR(INDEX(المبيعات!$C:$C,MATCH(B293,المبيعات!$A:$A,0)),""))</f>
        <v/>
      </c>
      <c r="F293" t="str">
        <f>IF(A293="","",SUMIFS(التحصيلات!$E:$E, التحصيلات!$J:$J, A293))</f>
        <v/>
      </c>
      <c r="G293" t="str">
        <f t="shared" si="8"/>
        <v/>
      </c>
      <c r="H293" t="str">
        <f t="shared" ca="1" si="9"/>
        <v/>
      </c>
    </row>
    <row r="294" spans="3:8" x14ac:dyDescent="0.25">
      <c r="C294" t="str">
        <f>IF(B294="","",IFERROR(INDEX(المبيعات!$C:$C,MATCH(B294,المبيعات!$A:$A,0)),""))</f>
        <v/>
      </c>
      <c r="F294" t="str">
        <f>IF(A294="","",SUMIFS(التحصيلات!$E:$E, التحصيلات!$J:$J, A294))</f>
        <v/>
      </c>
      <c r="G294" t="str">
        <f t="shared" si="8"/>
        <v/>
      </c>
      <c r="H294" t="str">
        <f t="shared" ca="1" si="9"/>
        <v/>
      </c>
    </row>
    <row r="295" spans="3:8" x14ac:dyDescent="0.25">
      <c r="C295" t="str">
        <f>IF(B295="","",IFERROR(INDEX(المبيعات!$C:$C,MATCH(B295,المبيعات!$A:$A,0)),""))</f>
        <v/>
      </c>
      <c r="F295" t="str">
        <f>IF(A295="","",SUMIFS(التحصيلات!$E:$E, التحصيلات!$J:$J, A295))</f>
        <v/>
      </c>
      <c r="G295" t="str">
        <f t="shared" si="8"/>
        <v/>
      </c>
      <c r="H295" t="str">
        <f t="shared" ca="1" si="9"/>
        <v/>
      </c>
    </row>
    <row r="296" spans="3:8" x14ac:dyDescent="0.25">
      <c r="C296" t="str">
        <f>IF(B296="","",IFERROR(INDEX(المبيعات!$C:$C,MATCH(B296,المبيعات!$A:$A,0)),""))</f>
        <v/>
      </c>
      <c r="F296" t="str">
        <f>IF(A296="","",SUMIFS(التحصيلات!$E:$E, التحصيلات!$J:$J, A296))</f>
        <v/>
      </c>
      <c r="G296" t="str">
        <f t="shared" si="8"/>
        <v/>
      </c>
      <c r="H296" t="str">
        <f t="shared" ca="1" si="9"/>
        <v/>
      </c>
    </row>
    <row r="297" spans="3:8" x14ac:dyDescent="0.25">
      <c r="C297" t="str">
        <f>IF(B297="","",IFERROR(INDEX(المبيعات!$C:$C,MATCH(B297,المبيعات!$A:$A,0)),""))</f>
        <v/>
      </c>
      <c r="F297" t="str">
        <f>IF(A297="","",SUMIFS(التحصيلات!$E:$E, التحصيلات!$J:$J, A297))</f>
        <v/>
      </c>
      <c r="G297" t="str">
        <f t="shared" si="8"/>
        <v/>
      </c>
      <c r="H297" t="str">
        <f t="shared" ca="1" si="9"/>
        <v/>
      </c>
    </row>
    <row r="298" spans="3:8" x14ac:dyDescent="0.25">
      <c r="C298" t="str">
        <f>IF(B298="","",IFERROR(INDEX(المبيعات!$C:$C,MATCH(B298,المبيعات!$A:$A,0)),""))</f>
        <v/>
      </c>
      <c r="F298" t="str">
        <f>IF(A298="","",SUMIFS(التحصيلات!$E:$E, التحصيلات!$J:$J, A298))</f>
        <v/>
      </c>
      <c r="G298" t="str">
        <f t="shared" si="8"/>
        <v/>
      </c>
      <c r="H298" t="str">
        <f t="shared" ca="1" si="9"/>
        <v/>
      </c>
    </row>
    <row r="299" spans="3:8" x14ac:dyDescent="0.25">
      <c r="C299" t="str">
        <f>IF(B299="","",IFERROR(INDEX(المبيعات!$C:$C,MATCH(B299,المبيعات!$A:$A,0)),""))</f>
        <v/>
      </c>
      <c r="F299" t="str">
        <f>IF(A299="","",SUMIFS(التحصيلات!$E:$E, التحصيلات!$J:$J, A299))</f>
        <v/>
      </c>
      <c r="G299" t="str">
        <f t="shared" si="8"/>
        <v/>
      </c>
      <c r="H299" t="str">
        <f t="shared" ca="1" si="9"/>
        <v/>
      </c>
    </row>
    <row r="300" spans="3:8" x14ac:dyDescent="0.25">
      <c r="C300" t="str">
        <f>IF(B300="","",IFERROR(INDEX(المبيعات!$C:$C,MATCH(B300,المبيعات!$A:$A,0)),""))</f>
        <v/>
      </c>
      <c r="F300" t="str">
        <f>IF(A300="","",SUMIFS(التحصيلات!$E:$E, التحصيلات!$J:$J, A300))</f>
        <v/>
      </c>
      <c r="G300" t="str">
        <f t="shared" si="8"/>
        <v/>
      </c>
      <c r="H300" t="str">
        <f t="shared" ca="1" si="9"/>
        <v/>
      </c>
    </row>
    <row r="301" spans="3:8" x14ac:dyDescent="0.25">
      <c r="C301" t="str">
        <f>IF(B301="","",IFERROR(INDEX(المبيعات!$C:$C,MATCH(B301,المبيعات!$A:$A,0)),""))</f>
        <v/>
      </c>
      <c r="F301" t="str">
        <f>IF(A301="","",SUMIFS(التحصيلات!$E:$E, التحصيلات!$J:$J, A301))</f>
        <v/>
      </c>
      <c r="G301" t="str">
        <f t="shared" si="8"/>
        <v/>
      </c>
      <c r="H301" t="str">
        <f t="shared" ca="1" si="9"/>
        <v/>
      </c>
    </row>
    <row r="302" spans="3:8" x14ac:dyDescent="0.25">
      <c r="C302" t="str">
        <f>IF(B302="","",IFERROR(INDEX(المبيعات!$C:$C,MATCH(B302,المبيعات!$A:$A,0)),""))</f>
        <v/>
      </c>
      <c r="F302" t="str">
        <f>IF(A302="","",SUMIFS(التحصيلات!$E:$E, التحصيلات!$J:$J, A302))</f>
        <v/>
      </c>
      <c r="G302" t="str">
        <f t="shared" si="8"/>
        <v/>
      </c>
      <c r="H302" t="str">
        <f t="shared" ca="1" si="9"/>
        <v/>
      </c>
    </row>
    <row r="303" spans="3:8" x14ac:dyDescent="0.25">
      <c r="C303" t="str">
        <f>IF(B303="","",IFERROR(INDEX(المبيعات!$C:$C,MATCH(B303,المبيعات!$A:$A,0)),""))</f>
        <v/>
      </c>
      <c r="F303" t="str">
        <f>IF(A303="","",SUMIFS(التحصيلات!$E:$E, التحصيلات!$J:$J, A303))</f>
        <v/>
      </c>
      <c r="G303" t="str">
        <f t="shared" si="8"/>
        <v/>
      </c>
      <c r="H303" t="str">
        <f t="shared" ca="1" si="9"/>
        <v/>
      </c>
    </row>
    <row r="304" spans="3:8" x14ac:dyDescent="0.25">
      <c r="C304" t="str">
        <f>IF(B304="","",IFERROR(INDEX(المبيعات!$C:$C,MATCH(B304,المبيعات!$A:$A,0)),""))</f>
        <v/>
      </c>
      <c r="F304" t="str">
        <f>IF(A304="","",SUMIFS(التحصيلات!$E:$E, التحصيلات!$J:$J, A304))</f>
        <v/>
      </c>
      <c r="G304" t="str">
        <f t="shared" si="8"/>
        <v/>
      </c>
      <c r="H304" t="str">
        <f t="shared" ca="1" si="9"/>
        <v/>
      </c>
    </row>
    <row r="305" spans="3:8" x14ac:dyDescent="0.25">
      <c r="C305" t="str">
        <f>IF(B305="","",IFERROR(INDEX(المبيعات!$C:$C,MATCH(B305,المبيعات!$A:$A,0)),""))</f>
        <v/>
      </c>
      <c r="F305" t="str">
        <f>IF(A305="","",SUMIFS(التحصيلات!$E:$E, التحصيلات!$J:$J, A305))</f>
        <v/>
      </c>
      <c r="G305" t="str">
        <f t="shared" si="8"/>
        <v/>
      </c>
      <c r="H305" t="str">
        <f t="shared" ca="1" si="9"/>
        <v/>
      </c>
    </row>
    <row r="306" spans="3:8" x14ac:dyDescent="0.25">
      <c r="C306" t="str">
        <f>IF(B306="","",IFERROR(INDEX(المبيعات!$C:$C,MATCH(B306,المبيعات!$A:$A,0)),""))</f>
        <v/>
      </c>
      <c r="F306" t="str">
        <f>IF(A306="","",SUMIFS(التحصيلات!$E:$E, التحصيلات!$J:$J, A306))</f>
        <v/>
      </c>
      <c r="G306" t="str">
        <f t="shared" si="8"/>
        <v/>
      </c>
      <c r="H306" t="str">
        <f t="shared" ca="1" si="9"/>
        <v/>
      </c>
    </row>
    <row r="307" spans="3:8" x14ac:dyDescent="0.25">
      <c r="C307" t="str">
        <f>IF(B307="","",IFERROR(INDEX(المبيعات!$C:$C,MATCH(B307,المبيعات!$A:$A,0)),""))</f>
        <v/>
      </c>
      <c r="F307" t="str">
        <f>IF(A307="","",SUMIFS(التحصيلات!$E:$E, التحصيلات!$J:$J, A307))</f>
        <v/>
      </c>
      <c r="G307" t="str">
        <f t="shared" si="8"/>
        <v/>
      </c>
      <c r="H307" t="str">
        <f t="shared" ca="1" si="9"/>
        <v/>
      </c>
    </row>
    <row r="308" spans="3:8" x14ac:dyDescent="0.25">
      <c r="C308" t="str">
        <f>IF(B308="","",IFERROR(INDEX(المبيعات!$C:$C,MATCH(B308,المبيعات!$A:$A,0)),""))</f>
        <v/>
      </c>
      <c r="F308" t="str">
        <f>IF(A308="","",SUMIFS(التحصيلات!$E:$E, التحصيلات!$J:$J, A308))</f>
        <v/>
      </c>
      <c r="G308" t="str">
        <f t="shared" si="8"/>
        <v/>
      </c>
      <c r="H308" t="str">
        <f t="shared" ca="1" si="9"/>
        <v/>
      </c>
    </row>
    <row r="309" spans="3:8" x14ac:dyDescent="0.25">
      <c r="C309" t="str">
        <f>IF(B309="","",IFERROR(INDEX(المبيعات!$C:$C,MATCH(B309,المبيعات!$A:$A,0)),""))</f>
        <v/>
      </c>
      <c r="F309" t="str">
        <f>IF(A309="","",SUMIFS(التحصيلات!$E:$E, التحصيلات!$J:$J, A309))</f>
        <v/>
      </c>
      <c r="G309" t="str">
        <f t="shared" si="8"/>
        <v/>
      </c>
      <c r="H309" t="str">
        <f t="shared" ca="1" si="9"/>
        <v/>
      </c>
    </row>
    <row r="310" spans="3:8" x14ac:dyDescent="0.25">
      <c r="C310" t="str">
        <f>IF(B310="","",IFERROR(INDEX(المبيعات!$C:$C,MATCH(B310,المبيعات!$A:$A,0)),""))</f>
        <v/>
      </c>
      <c r="F310" t="str">
        <f>IF(A310="","",SUMIFS(التحصيلات!$E:$E, التحصيلات!$J:$J, A310))</f>
        <v/>
      </c>
      <c r="G310" t="str">
        <f t="shared" si="8"/>
        <v/>
      </c>
      <c r="H310" t="str">
        <f t="shared" ca="1" si="9"/>
        <v/>
      </c>
    </row>
    <row r="311" spans="3:8" x14ac:dyDescent="0.25">
      <c r="C311" t="str">
        <f>IF(B311="","",IFERROR(INDEX(المبيعات!$C:$C,MATCH(B311,المبيعات!$A:$A,0)),""))</f>
        <v/>
      </c>
      <c r="F311" t="str">
        <f>IF(A311="","",SUMIFS(التحصيلات!$E:$E, التحصيلات!$J:$J, A311))</f>
        <v/>
      </c>
      <c r="G311" t="str">
        <f t="shared" si="8"/>
        <v/>
      </c>
      <c r="H311" t="str">
        <f t="shared" ca="1" si="9"/>
        <v/>
      </c>
    </row>
    <row r="312" spans="3:8" x14ac:dyDescent="0.25">
      <c r="C312" t="str">
        <f>IF(B312="","",IFERROR(INDEX(المبيعات!$C:$C,MATCH(B312,المبيعات!$A:$A,0)),""))</f>
        <v/>
      </c>
      <c r="F312" t="str">
        <f>IF(A312="","",SUMIFS(التحصيلات!$E:$E, التحصيلات!$J:$J, A312))</f>
        <v/>
      </c>
      <c r="G312" t="str">
        <f t="shared" si="8"/>
        <v/>
      </c>
      <c r="H312" t="str">
        <f t="shared" ca="1" si="9"/>
        <v/>
      </c>
    </row>
    <row r="313" spans="3:8" x14ac:dyDescent="0.25">
      <c r="C313" t="str">
        <f>IF(B313="","",IFERROR(INDEX(المبيعات!$C:$C,MATCH(B313,المبيعات!$A:$A,0)),""))</f>
        <v/>
      </c>
      <c r="F313" t="str">
        <f>IF(A313="","",SUMIFS(التحصيلات!$E:$E, التحصيلات!$J:$J, A313))</f>
        <v/>
      </c>
      <c r="G313" t="str">
        <f t="shared" si="8"/>
        <v/>
      </c>
      <c r="H313" t="str">
        <f t="shared" ca="1" si="9"/>
        <v/>
      </c>
    </row>
    <row r="314" spans="3:8" x14ac:dyDescent="0.25">
      <c r="C314" t="str">
        <f>IF(B314="","",IFERROR(INDEX(المبيعات!$C:$C,MATCH(B314,المبيعات!$A:$A,0)),""))</f>
        <v/>
      </c>
      <c r="F314" t="str">
        <f>IF(A314="","",SUMIFS(التحصيلات!$E:$E, التحصيلات!$J:$J, A314))</f>
        <v/>
      </c>
      <c r="G314" t="str">
        <f t="shared" si="8"/>
        <v/>
      </c>
      <c r="H314" t="str">
        <f t="shared" ca="1" si="9"/>
        <v/>
      </c>
    </row>
    <row r="315" spans="3:8" x14ac:dyDescent="0.25">
      <c r="C315" t="str">
        <f>IF(B315="","",IFERROR(INDEX(المبيعات!$C:$C,MATCH(B315,المبيعات!$A:$A,0)),""))</f>
        <v/>
      </c>
      <c r="F315" t="str">
        <f>IF(A315="","",SUMIFS(التحصيلات!$E:$E, التحصيلات!$J:$J, A315))</f>
        <v/>
      </c>
      <c r="G315" t="str">
        <f t="shared" si="8"/>
        <v/>
      </c>
      <c r="H315" t="str">
        <f t="shared" ca="1" si="9"/>
        <v/>
      </c>
    </row>
    <row r="316" spans="3:8" x14ac:dyDescent="0.25">
      <c r="C316" t="str">
        <f>IF(B316="","",IFERROR(INDEX(المبيعات!$C:$C,MATCH(B316,المبيعات!$A:$A,0)),""))</f>
        <v/>
      </c>
      <c r="F316" t="str">
        <f>IF(A316="","",SUMIFS(التحصيلات!$E:$E, التحصيلات!$J:$J, A316))</f>
        <v/>
      </c>
      <c r="G316" t="str">
        <f t="shared" si="8"/>
        <v/>
      </c>
      <c r="H316" t="str">
        <f t="shared" ca="1" si="9"/>
        <v/>
      </c>
    </row>
    <row r="317" spans="3:8" x14ac:dyDescent="0.25">
      <c r="C317" t="str">
        <f>IF(B317="","",IFERROR(INDEX(المبيعات!$C:$C,MATCH(B317,المبيعات!$A:$A,0)),""))</f>
        <v/>
      </c>
      <c r="F317" t="str">
        <f>IF(A317="","",SUMIFS(التحصيلات!$E:$E, التحصيلات!$J:$J, A317))</f>
        <v/>
      </c>
      <c r="G317" t="str">
        <f t="shared" si="8"/>
        <v/>
      </c>
      <c r="H317" t="str">
        <f t="shared" ca="1" si="9"/>
        <v/>
      </c>
    </row>
    <row r="318" spans="3:8" x14ac:dyDescent="0.25">
      <c r="C318" t="str">
        <f>IF(B318="","",IFERROR(INDEX(المبيعات!$C:$C,MATCH(B318,المبيعات!$A:$A,0)),""))</f>
        <v/>
      </c>
      <c r="F318" t="str">
        <f>IF(A318="","",SUMIFS(التحصيلات!$E:$E, التحصيلات!$J:$J, A318))</f>
        <v/>
      </c>
      <c r="G318" t="str">
        <f t="shared" si="8"/>
        <v/>
      </c>
      <c r="H318" t="str">
        <f t="shared" ca="1" si="9"/>
        <v/>
      </c>
    </row>
    <row r="319" spans="3:8" x14ac:dyDescent="0.25">
      <c r="C319" t="str">
        <f>IF(B319="","",IFERROR(INDEX(المبيعات!$C:$C,MATCH(B319,المبيعات!$A:$A,0)),""))</f>
        <v/>
      </c>
      <c r="F319" t="str">
        <f>IF(A319="","",SUMIFS(التحصيلات!$E:$E, التحصيلات!$J:$J, A319))</f>
        <v/>
      </c>
      <c r="G319" t="str">
        <f t="shared" si="8"/>
        <v/>
      </c>
      <c r="H319" t="str">
        <f t="shared" ca="1" si="9"/>
        <v/>
      </c>
    </row>
    <row r="320" spans="3:8" x14ac:dyDescent="0.25">
      <c r="C320" t="str">
        <f>IF(B320="","",IFERROR(INDEX(المبيعات!$C:$C,MATCH(B320,المبيعات!$A:$A,0)),""))</f>
        <v/>
      </c>
      <c r="F320" t="str">
        <f>IF(A320="","",SUMIFS(التحصيلات!$E:$E, التحصيلات!$J:$J, A320))</f>
        <v/>
      </c>
      <c r="G320" t="str">
        <f t="shared" si="8"/>
        <v/>
      </c>
      <c r="H320" t="str">
        <f t="shared" ca="1" si="9"/>
        <v/>
      </c>
    </row>
    <row r="321" spans="3:8" x14ac:dyDescent="0.25">
      <c r="C321" t="str">
        <f>IF(B321="","",IFERROR(INDEX(المبيعات!$C:$C,MATCH(B321,المبيعات!$A:$A,0)),""))</f>
        <v/>
      </c>
      <c r="F321" t="str">
        <f>IF(A321="","",SUMIFS(التحصيلات!$E:$E, التحصيلات!$J:$J, A321))</f>
        <v/>
      </c>
      <c r="G321" t="str">
        <f t="shared" si="8"/>
        <v/>
      </c>
      <c r="H321" t="str">
        <f t="shared" ca="1" si="9"/>
        <v/>
      </c>
    </row>
    <row r="322" spans="3:8" x14ac:dyDescent="0.25">
      <c r="C322" t="str">
        <f>IF(B322="","",IFERROR(INDEX(المبيعات!$C:$C,MATCH(B322,المبيعات!$A:$A,0)),""))</f>
        <v/>
      </c>
      <c r="F322" t="str">
        <f>IF(A322="","",SUMIFS(التحصيلات!$E:$E, التحصيلات!$J:$J, A322))</f>
        <v/>
      </c>
      <c r="G322" t="str">
        <f t="shared" si="8"/>
        <v/>
      </c>
      <c r="H322" t="str">
        <f t="shared" ca="1" si="9"/>
        <v/>
      </c>
    </row>
    <row r="323" spans="3:8" x14ac:dyDescent="0.25">
      <c r="C323" t="str">
        <f>IF(B323="","",IFERROR(INDEX(المبيعات!$C:$C,MATCH(B323,المبيعات!$A:$A,0)),""))</f>
        <v/>
      </c>
      <c r="F323" t="str">
        <f>IF(A323="","",SUMIFS(التحصيلات!$E:$E, التحصيلات!$J:$J, A323))</f>
        <v/>
      </c>
      <c r="G323" t="str">
        <f t="shared" ref="G323:G386" si="10">IF(A323="","", E323 - F323)</f>
        <v/>
      </c>
      <c r="H323" t="str">
        <f t="shared" ref="H323:H386" ca="1" si="11">IF(A323="","",IF(ROUND(G323,2)&lt;=0,"مدفوع",IF(ROUND(F323,2)&gt;0,"مدفوع جزئياً",IF(AND(D323&lt;&gt;"",D323&lt;TODAY()),"متأخر","مستحق"))))</f>
        <v/>
      </c>
    </row>
    <row r="324" spans="3:8" x14ac:dyDescent="0.25">
      <c r="C324" t="str">
        <f>IF(B324="","",IFERROR(INDEX(المبيعات!$C:$C,MATCH(B324,المبيعات!$A:$A,0)),""))</f>
        <v/>
      </c>
      <c r="F324" t="str">
        <f>IF(A324="","",SUMIFS(التحصيلات!$E:$E, التحصيلات!$J:$J, A324))</f>
        <v/>
      </c>
      <c r="G324" t="str">
        <f t="shared" si="10"/>
        <v/>
      </c>
      <c r="H324" t="str">
        <f t="shared" ca="1" si="11"/>
        <v/>
      </c>
    </row>
    <row r="325" spans="3:8" x14ac:dyDescent="0.25">
      <c r="C325" t="str">
        <f>IF(B325="","",IFERROR(INDEX(المبيعات!$C:$C,MATCH(B325,المبيعات!$A:$A,0)),""))</f>
        <v/>
      </c>
      <c r="F325" t="str">
        <f>IF(A325="","",SUMIFS(التحصيلات!$E:$E, التحصيلات!$J:$J, A325))</f>
        <v/>
      </c>
      <c r="G325" t="str">
        <f t="shared" si="10"/>
        <v/>
      </c>
      <c r="H325" t="str">
        <f t="shared" ca="1" si="11"/>
        <v/>
      </c>
    </row>
    <row r="326" spans="3:8" x14ac:dyDescent="0.25">
      <c r="C326" t="str">
        <f>IF(B326="","",IFERROR(INDEX(المبيعات!$C:$C,MATCH(B326,المبيعات!$A:$A,0)),""))</f>
        <v/>
      </c>
      <c r="F326" t="str">
        <f>IF(A326="","",SUMIFS(التحصيلات!$E:$E, التحصيلات!$J:$J, A326))</f>
        <v/>
      </c>
      <c r="G326" t="str">
        <f t="shared" si="10"/>
        <v/>
      </c>
      <c r="H326" t="str">
        <f t="shared" ca="1" si="11"/>
        <v/>
      </c>
    </row>
    <row r="327" spans="3:8" x14ac:dyDescent="0.25">
      <c r="C327" t="str">
        <f>IF(B327="","",IFERROR(INDEX(المبيعات!$C:$C,MATCH(B327,المبيعات!$A:$A,0)),""))</f>
        <v/>
      </c>
      <c r="F327" t="str">
        <f>IF(A327="","",SUMIFS(التحصيلات!$E:$E, التحصيلات!$J:$J, A327))</f>
        <v/>
      </c>
      <c r="G327" t="str">
        <f t="shared" si="10"/>
        <v/>
      </c>
      <c r="H327" t="str">
        <f t="shared" ca="1" si="11"/>
        <v/>
      </c>
    </row>
    <row r="328" spans="3:8" x14ac:dyDescent="0.25">
      <c r="C328" t="str">
        <f>IF(B328="","",IFERROR(INDEX(المبيعات!$C:$C,MATCH(B328,المبيعات!$A:$A,0)),""))</f>
        <v/>
      </c>
      <c r="F328" t="str">
        <f>IF(A328="","",SUMIFS(التحصيلات!$E:$E, التحصيلات!$J:$J, A328))</f>
        <v/>
      </c>
      <c r="G328" t="str">
        <f t="shared" si="10"/>
        <v/>
      </c>
      <c r="H328" t="str">
        <f t="shared" ca="1" si="11"/>
        <v/>
      </c>
    </row>
    <row r="329" spans="3:8" x14ac:dyDescent="0.25">
      <c r="C329" t="str">
        <f>IF(B329="","",IFERROR(INDEX(المبيعات!$C:$C,MATCH(B329,المبيعات!$A:$A,0)),""))</f>
        <v/>
      </c>
      <c r="F329" t="str">
        <f>IF(A329="","",SUMIFS(التحصيلات!$E:$E, التحصيلات!$J:$J, A329))</f>
        <v/>
      </c>
      <c r="G329" t="str">
        <f t="shared" si="10"/>
        <v/>
      </c>
      <c r="H329" t="str">
        <f t="shared" ca="1" si="11"/>
        <v/>
      </c>
    </row>
    <row r="330" spans="3:8" x14ac:dyDescent="0.25">
      <c r="C330" t="str">
        <f>IF(B330="","",IFERROR(INDEX(المبيعات!$C:$C,MATCH(B330,المبيعات!$A:$A,0)),""))</f>
        <v/>
      </c>
      <c r="F330" t="str">
        <f>IF(A330="","",SUMIFS(التحصيلات!$E:$E, التحصيلات!$J:$J, A330))</f>
        <v/>
      </c>
      <c r="G330" t="str">
        <f t="shared" si="10"/>
        <v/>
      </c>
      <c r="H330" t="str">
        <f t="shared" ca="1" si="11"/>
        <v/>
      </c>
    </row>
    <row r="331" spans="3:8" x14ac:dyDescent="0.25">
      <c r="C331" t="str">
        <f>IF(B331="","",IFERROR(INDEX(المبيعات!$C:$C,MATCH(B331,المبيعات!$A:$A,0)),""))</f>
        <v/>
      </c>
      <c r="F331" t="str">
        <f>IF(A331="","",SUMIFS(التحصيلات!$E:$E, التحصيلات!$J:$J, A331))</f>
        <v/>
      </c>
      <c r="G331" t="str">
        <f t="shared" si="10"/>
        <v/>
      </c>
      <c r="H331" t="str">
        <f t="shared" ca="1" si="11"/>
        <v/>
      </c>
    </row>
    <row r="332" spans="3:8" x14ac:dyDescent="0.25">
      <c r="C332" t="str">
        <f>IF(B332="","",IFERROR(INDEX(المبيعات!$C:$C,MATCH(B332,المبيعات!$A:$A,0)),""))</f>
        <v/>
      </c>
      <c r="F332" t="str">
        <f>IF(A332="","",SUMIFS(التحصيلات!$E:$E, التحصيلات!$J:$J, A332))</f>
        <v/>
      </c>
      <c r="G332" t="str">
        <f t="shared" si="10"/>
        <v/>
      </c>
      <c r="H332" t="str">
        <f t="shared" ca="1" si="11"/>
        <v/>
      </c>
    </row>
    <row r="333" spans="3:8" x14ac:dyDescent="0.25">
      <c r="C333" t="str">
        <f>IF(B333="","",IFERROR(INDEX(المبيعات!$C:$C,MATCH(B333,المبيعات!$A:$A,0)),""))</f>
        <v/>
      </c>
      <c r="F333" t="str">
        <f>IF(A333="","",SUMIFS(التحصيلات!$E:$E, التحصيلات!$J:$J, A333))</f>
        <v/>
      </c>
      <c r="G333" t="str">
        <f t="shared" si="10"/>
        <v/>
      </c>
      <c r="H333" t="str">
        <f t="shared" ca="1" si="11"/>
        <v/>
      </c>
    </row>
    <row r="334" spans="3:8" x14ac:dyDescent="0.25">
      <c r="C334" t="str">
        <f>IF(B334="","",IFERROR(INDEX(المبيعات!$C:$C,MATCH(B334,المبيعات!$A:$A,0)),""))</f>
        <v/>
      </c>
      <c r="F334" t="str">
        <f>IF(A334="","",SUMIFS(التحصيلات!$E:$E, التحصيلات!$J:$J, A334))</f>
        <v/>
      </c>
      <c r="G334" t="str">
        <f t="shared" si="10"/>
        <v/>
      </c>
      <c r="H334" t="str">
        <f t="shared" ca="1" si="11"/>
        <v/>
      </c>
    </row>
    <row r="335" spans="3:8" x14ac:dyDescent="0.25">
      <c r="C335" t="str">
        <f>IF(B335="","",IFERROR(INDEX(المبيعات!$C:$C,MATCH(B335,المبيعات!$A:$A,0)),""))</f>
        <v/>
      </c>
      <c r="F335" t="str">
        <f>IF(A335="","",SUMIFS(التحصيلات!$E:$E, التحصيلات!$J:$J, A335))</f>
        <v/>
      </c>
      <c r="G335" t="str">
        <f t="shared" si="10"/>
        <v/>
      </c>
      <c r="H335" t="str">
        <f t="shared" ca="1" si="11"/>
        <v/>
      </c>
    </row>
    <row r="336" spans="3:8" x14ac:dyDescent="0.25">
      <c r="C336" t="str">
        <f>IF(B336="","",IFERROR(INDEX(المبيعات!$C:$C,MATCH(B336,المبيعات!$A:$A,0)),""))</f>
        <v/>
      </c>
      <c r="F336" t="str">
        <f>IF(A336="","",SUMIFS(التحصيلات!$E:$E, التحصيلات!$J:$J, A336))</f>
        <v/>
      </c>
      <c r="G336" t="str">
        <f t="shared" si="10"/>
        <v/>
      </c>
      <c r="H336" t="str">
        <f t="shared" ca="1" si="11"/>
        <v/>
      </c>
    </row>
    <row r="337" spans="3:8" x14ac:dyDescent="0.25">
      <c r="C337" t="str">
        <f>IF(B337="","",IFERROR(INDEX(المبيعات!$C:$C,MATCH(B337,المبيعات!$A:$A,0)),""))</f>
        <v/>
      </c>
      <c r="F337" t="str">
        <f>IF(A337="","",SUMIFS(التحصيلات!$E:$E, التحصيلات!$J:$J, A337))</f>
        <v/>
      </c>
      <c r="G337" t="str">
        <f t="shared" si="10"/>
        <v/>
      </c>
      <c r="H337" t="str">
        <f t="shared" ca="1" si="11"/>
        <v/>
      </c>
    </row>
    <row r="338" spans="3:8" x14ac:dyDescent="0.25">
      <c r="C338" t="str">
        <f>IF(B338="","",IFERROR(INDEX(المبيعات!$C:$C,MATCH(B338,المبيعات!$A:$A,0)),""))</f>
        <v/>
      </c>
      <c r="F338" t="str">
        <f>IF(A338="","",SUMIFS(التحصيلات!$E:$E, التحصيلات!$J:$J, A338))</f>
        <v/>
      </c>
      <c r="G338" t="str">
        <f t="shared" si="10"/>
        <v/>
      </c>
      <c r="H338" t="str">
        <f t="shared" ca="1" si="11"/>
        <v/>
      </c>
    </row>
    <row r="339" spans="3:8" x14ac:dyDescent="0.25">
      <c r="C339" t="str">
        <f>IF(B339="","",IFERROR(INDEX(المبيعات!$C:$C,MATCH(B339,المبيعات!$A:$A,0)),""))</f>
        <v/>
      </c>
      <c r="F339" t="str">
        <f>IF(A339="","",SUMIFS(التحصيلات!$E:$E, التحصيلات!$J:$J, A339))</f>
        <v/>
      </c>
      <c r="G339" t="str">
        <f t="shared" si="10"/>
        <v/>
      </c>
      <c r="H339" t="str">
        <f t="shared" ca="1" si="11"/>
        <v/>
      </c>
    </row>
    <row r="340" spans="3:8" x14ac:dyDescent="0.25">
      <c r="C340" t="str">
        <f>IF(B340="","",IFERROR(INDEX(المبيعات!$C:$C,MATCH(B340,المبيعات!$A:$A,0)),""))</f>
        <v/>
      </c>
      <c r="F340" t="str">
        <f>IF(A340="","",SUMIFS(التحصيلات!$E:$E, التحصيلات!$J:$J, A340))</f>
        <v/>
      </c>
      <c r="G340" t="str">
        <f t="shared" si="10"/>
        <v/>
      </c>
      <c r="H340" t="str">
        <f t="shared" ca="1" si="11"/>
        <v/>
      </c>
    </row>
    <row r="341" spans="3:8" x14ac:dyDescent="0.25">
      <c r="C341" t="str">
        <f>IF(B341="","",IFERROR(INDEX(المبيعات!$C:$C,MATCH(B341,المبيعات!$A:$A,0)),""))</f>
        <v/>
      </c>
      <c r="F341" t="str">
        <f>IF(A341="","",SUMIFS(التحصيلات!$E:$E, التحصيلات!$J:$J, A341))</f>
        <v/>
      </c>
      <c r="G341" t="str">
        <f t="shared" si="10"/>
        <v/>
      </c>
      <c r="H341" t="str">
        <f t="shared" ca="1" si="11"/>
        <v/>
      </c>
    </row>
    <row r="342" spans="3:8" x14ac:dyDescent="0.25">
      <c r="C342" t="str">
        <f>IF(B342="","",IFERROR(INDEX(المبيعات!$C:$C,MATCH(B342,المبيعات!$A:$A,0)),""))</f>
        <v/>
      </c>
      <c r="F342" t="str">
        <f>IF(A342="","",SUMIFS(التحصيلات!$E:$E, التحصيلات!$J:$J, A342))</f>
        <v/>
      </c>
      <c r="G342" t="str">
        <f t="shared" si="10"/>
        <v/>
      </c>
      <c r="H342" t="str">
        <f t="shared" ca="1" si="11"/>
        <v/>
      </c>
    </row>
    <row r="343" spans="3:8" x14ac:dyDescent="0.25">
      <c r="C343" t="str">
        <f>IF(B343="","",IFERROR(INDEX(المبيعات!$C:$C,MATCH(B343,المبيعات!$A:$A,0)),""))</f>
        <v/>
      </c>
      <c r="F343" t="str">
        <f>IF(A343="","",SUMIFS(التحصيلات!$E:$E, التحصيلات!$J:$J, A343))</f>
        <v/>
      </c>
      <c r="G343" t="str">
        <f t="shared" si="10"/>
        <v/>
      </c>
      <c r="H343" t="str">
        <f t="shared" ca="1" si="11"/>
        <v/>
      </c>
    </row>
    <row r="344" spans="3:8" x14ac:dyDescent="0.25">
      <c r="C344" t="str">
        <f>IF(B344="","",IFERROR(INDEX(المبيعات!$C:$C,MATCH(B344,المبيعات!$A:$A,0)),""))</f>
        <v/>
      </c>
      <c r="F344" t="str">
        <f>IF(A344="","",SUMIFS(التحصيلات!$E:$E, التحصيلات!$J:$J, A344))</f>
        <v/>
      </c>
      <c r="G344" t="str">
        <f t="shared" si="10"/>
        <v/>
      </c>
      <c r="H344" t="str">
        <f t="shared" ca="1" si="11"/>
        <v/>
      </c>
    </row>
    <row r="345" spans="3:8" x14ac:dyDescent="0.25">
      <c r="C345" t="str">
        <f>IF(B345="","",IFERROR(INDEX(المبيعات!$C:$C,MATCH(B345,المبيعات!$A:$A,0)),""))</f>
        <v/>
      </c>
      <c r="F345" t="str">
        <f>IF(A345="","",SUMIFS(التحصيلات!$E:$E, التحصيلات!$J:$J, A345))</f>
        <v/>
      </c>
      <c r="G345" t="str">
        <f t="shared" si="10"/>
        <v/>
      </c>
      <c r="H345" t="str">
        <f t="shared" ca="1" si="11"/>
        <v/>
      </c>
    </row>
    <row r="346" spans="3:8" x14ac:dyDescent="0.25">
      <c r="C346" t="str">
        <f>IF(B346="","",IFERROR(INDEX(المبيعات!$C:$C,MATCH(B346,المبيعات!$A:$A,0)),""))</f>
        <v/>
      </c>
      <c r="F346" t="str">
        <f>IF(A346="","",SUMIFS(التحصيلات!$E:$E, التحصيلات!$J:$J, A346))</f>
        <v/>
      </c>
      <c r="G346" t="str">
        <f t="shared" si="10"/>
        <v/>
      </c>
      <c r="H346" t="str">
        <f t="shared" ca="1" si="11"/>
        <v/>
      </c>
    </row>
    <row r="347" spans="3:8" x14ac:dyDescent="0.25">
      <c r="C347" t="str">
        <f>IF(B347="","",IFERROR(INDEX(المبيعات!$C:$C,MATCH(B347,المبيعات!$A:$A,0)),""))</f>
        <v/>
      </c>
      <c r="F347" t="str">
        <f>IF(A347="","",SUMIFS(التحصيلات!$E:$E, التحصيلات!$J:$J, A347))</f>
        <v/>
      </c>
      <c r="G347" t="str">
        <f t="shared" si="10"/>
        <v/>
      </c>
      <c r="H347" t="str">
        <f t="shared" ca="1" si="11"/>
        <v/>
      </c>
    </row>
    <row r="348" spans="3:8" x14ac:dyDescent="0.25">
      <c r="C348" t="str">
        <f>IF(B348="","",IFERROR(INDEX(المبيعات!$C:$C,MATCH(B348,المبيعات!$A:$A,0)),""))</f>
        <v/>
      </c>
      <c r="F348" t="str">
        <f>IF(A348="","",SUMIFS(التحصيلات!$E:$E, التحصيلات!$J:$J, A348))</f>
        <v/>
      </c>
      <c r="G348" t="str">
        <f t="shared" si="10"/>
        <v/>
      </c>
      <c r="H348" t="str">
        <f t="shared" ca="1" si="11"/>
        <v/>
      </c>
    </row>
    <row r="349" spans="3:8" x14ac:dyDescent="0.25">
      <c r="C349" t="str">
        <f>IF(B349="","",IFERROR(INDEX(المبيعات!$C:$C,MATCH(B349,المبيعات!$A:$A,0)),""))</f>
        <v/>
      </c>
      <c r="F349" t="str">
        <f>IF(A349="","",SUMIFS(التحصيلات!$E:$E, التحصيلات!$J:$J, A349))</f>
        <v/>
      </c>
      <c r="G349" t="str">
        <f t="shared" si="10"/>
        <v/>
      </c>
      <c r="H349" t="str">
        <f t="shared" ca="1" si="11"/>
        <v/>
      </c>
    </row>
    <row r="350" spans="3:8" x14ac:dyDescent="0.25">
      <c r="C350" t="str">
        <f>IF(B350="","",IFERROR(INDEX(المبيعات!$C:$C,MATCH(B350,المبيعات!$A:$A,0)),""))</f>
        <v/>
      </c>
      <c r="F350" t="str">
        <f>IF(A350="","",SUMIFS(التحصيلات!$E:$E, التحصيلات!$J:$J, A350))</f>
        <v/>
      </c>
      <c r="G350" t="str">
        <f t="shared" si="10"/>
        <v/>
      </c>
      <c r="H350" t="str">
        <f t="shared" ca="1" si="11"/>
        <v/>
      </c>
    </row>
    <row r="351" spans="3:8" x14ac:dyDescent="0.25">
      <c r="C351" t="str">
        <f>IF(B351="","",IFERROR(INDEX(المبيعات!$C:$C,MATCH(B351,المبيعات!$A:$A,0)),""))</f>
        <v/>
      </c>
      <c r="F351" t="str">
        <f>IF(A351="","",SUMIFS(التحصيلات!$E:$E, التحصيلات!$J:$J, A351))</f>
        <v/>
      </c>
      <c r="G351" t="str">
        <f t="shared" si="10"/>
        <v/>
      </c>
      <c r="H351" t="str">
        <f t="shared" ca="1" si="11"/>
        <v/>
      </c>
    </row>
    <row r="352" spans="3:8" x14ac:dyDescent="0.25">
      <c r="C352" t="str">
        <f>IF(B352="","",IFERROR(INDEX(المبيعات!$C:$C,MATCH(B352,المبيعات!$A:$A,0)),""))</f>
        <v/>
      </c>
      <c r="F352" t="str">
        <f>IF(A352="","",SUMIFS(التحصيلات!$E:$E, التحصيلات!$J:$J, A352))</f>
        <v/>
      </c>
      <c r="G352" t="str">
        <f t="shared" si="10"/>
        <v/>
      </c>
      <c r="H352" t="str">
        <f t="shared" ca="1" si="11"/>
        <v/>
      </c>
    </row>
    <row r="353" spans="3:8" x14ac:dyDescent="0.25">
      <c r="C353" t="str">
        <f>IF(B353="","",IFERROR(INDEX(المبيعات!$C:$C,MATCH(B353,المبيعات!$A:$A,0)),""))</f>
        <v/>
      </c>
      <c r="F353" t="str">
        <f>IF(A353="","",SUMIFS(التحصيلات!$E:$E, التحصيلات!$J:$J, A353))</f>
        <v/>
      </c>
      <c r="G353" t="str">
        <f t="shared" si="10"/>
        <v/>
      </c>
      <c r="H353" t="str">
        <f t="shared" ca="1" si="11"/>
        <v/>
      </c>
    </row>
    <row r="354" spans="3:8" x14ac:dyDescent="0.25">
      <c r="C354" t="str">
        <f>IF(B354="","",IFERROR(INDEX(المبيعات!$C:$C,MATCH(B354,المبيعات!$A:$A,0)),""))</f>
        <v/>
      </c>
      <c r="F354" t="str">
        <f>IF(A354="","",SUMIFS(التحصيلات!$E:$E, التحصيلات!$J:$J, A354))</f>
        <v/>
      </c>
      <c r="G354" t="str">
        <f t="shared" si="10"/>
        <v/>
      </c>
      <c r="H354" t="str">
        <f t="shared" ca="1" si="11"/>
        <v/>
      </c>
    </row>
    <row r="355" spans="3:8" x14ac:dyDescent="0.25">
      <c r="C355" t="str">
        <f>IF(B355="","",IFERROR(INDEX(المبيعات!$C:$C,MATCH(B355,المبيعات!$A:$A,0)),""))</f>
        <v/>
      </c>
      <c r="F355" t="str">
        <f>IF(A355="","",SUMIFS(التحصيلات!$E:$E, التحصيلات!$J:$J, A355))</f>
        <v/>
      </c>
      <c r="G355" t="str">
        <f t="shared" si="10"/>
        <v/>
      </c>
      <c r="H355" t="str">
        <f t="shared" ca="1" si="11"/>
        <v/>
      </c>
    </row>
    <row r="356" spans="3:8" x14ac:dyDescent="0.25">
      <c r="C356" t="str">
        <f>IF(B356="","",IFERROR(INDEX(المبيعات!$C:$C,MATCH(B356,المبيعات!$A:$A,0)),""))</f>
        <v/>
      </c>
      <c r="F356" t="str">
        <f>IF(A356="","",SUMIFS(التحصيلات!$E:$E, التحصيلات!$J:$J, A356))</f>
        <v/>
      </c>
      <c r="G356" t="str">
        <f t="shared" si="10"/>
        <v/>
      </c>
      <c r="H356" t="str">
        <f t="shared" ca="1" si="11"/>
        <v/>
      </c>
    </row>
    <row r="357" spans="3:8" x14ac:dyDescent="0.25">
      <c r="C357" t="str">
        <f>IF(B357="","",IFERROR(INDEX(المبيعات!$C:$C,MATCH(B357,المبيعات!$A:$A,0)),""))</f>
        <v/>
      </c>
      <c r="F357" t="str">
        <f>IF(A357="","",SUMIFS(التحصيلات!$E:$E, التحصيلات!$J:$J, A357))</f>
        <v/>
      </c>
      <c r="G357" t="str">
        <f t="shared" si="10"/>
        <v/>
      </c>
      <c r="H357" t="str">
        <f t="shared" ca="1" si="11"/>
        <v/>
      </c>
    </row>
    <row r="358" spans="3:8" x14ac:dyDescent="0.25">
      <c r="C358" t="str">
        <f>IF(B358="","",IFERROR(INDEX(المبيعات!$C:$C,MATCH(B358,المبيعات!$A:$A,0)),""))</f>
        <v/>
      </c>
      <c r="F358" t="str">
        <f>IF(A358="","",SUMIFS(التحصيلات!$E:$E, التحصيلات!$J:$J, A358))</f>
        <v/>
      </c>
      <c r="G358" t="str">
        <f t="shared" si="10"/>
        <v/>
      </c>
      <c r="H358" t="str">
        <f t="shared" ca="1" si="11"/>
        <v/>
      </c>
    </row>
    <row r="359" spans="3:8" x14ac:dyDescent="0.25">
      <c r="C359" t="str">
        <f>IF(B359="","",IFERROR(INDEX(المبيعات!$C:$C,MATCH(B359,المبيعات!$A:$A,0)),""))</f>
        <v/>
      </c>
      <c r="F359" t="str">
        <f>IF(A359="","",SUMIFS(التحصيلات!$E:$E, التحصيلات!$J:$J, A359))</f>
        <v/>
      </c>
      <c r="G359" t="str">
        <f t="shared" si="10"/>
        <v/>
      </c>
      <c r="H359" t="str">
        <f t="shared" ca="1" si="11"/>
        <v/>
      </c>
    </row>
    <row r="360" spans="3:8" x14ac:dyDescent="0.25">
      <c r="C360" t="str">
        <f>IF(B360="","",IFERROR(INDEX(المبيعات!$C:$C,MATCH(B360,المبيعات!$A:$A,0)),""))</f>
        <v/>
      </c>
      <c r="F360" t="str">
        <f>IF(A360="","",SUMIFS(التحصيلات!$E:$E, التحصيلات!$J:$J, A360))</f>
        <v/>
      </c>
      <c r="G360" t="str">
        <f t="shared" si="10"/>
        <v/>
      </c>
      <c r="H360" t="str">
        <f t="shared" ca="1" si="11"/>
        <v/>
      </c>
    </row>
    <row r="361" spans="3:8" x14ac:dyDescent="0.25">
      <c r="C361" t="str">
        <f>IF(B361="","",IFERROR(INDEX(المبيعات!$C:$C,MATCH(B361,المبيعات!$A:$A,0)),""))</f>
        <v/>
      </c>
      <c r="F361" t="str">
        <f>IF(A361="","",SUMIFS(التحصيلات!$E:$E, التحصيلات!$J:$J, A361))</f>
        <v/>
      </c>
      <c r="G361" t="str">
        <f t="shared" si="10"/>
        <v/>
      </c>
      <c r="H361" t="str">
        <f t="shared" ca="1" si="11"/>
        <v/>
      </c>
    </row>
    <row r="362" spans="3:8" x14ac:dyDescent="0.25">
      <c r="C362" t="str">
        <f>IF(B362="","",IFERROR(INDEX(المبيعات!$C:$C,MATCH(B362,المبيعات!$A:$A,0)),""))</f>
        <v/>
      </c>
      <c r="F362" t="str">
        <f>IF(A362="","",SUMIFS(التحصيلات!$E:$E, التحصيلات!$J:$J, A362))</f>
        <v/>
      </c>
      <c r="G362" t="str">
        <f t="shared" si="10"/>
        <v/>
      </c>
      <c r="H362" t="str">
        <f t="shared" ca="1" si="11"/>
        <v/>
      </c>
    </row>
    <row r="363" spans="3:8" x14ac:dyDescent="0.25">
      <c r="C363" t="str">
        <f>IF(B363="","",IFERROR(INDEX(المبيعات!$C:$C,MATCH(B363,المبيعات!$A:$A,0)),""))</f>
        <v/>
      </c>
      <c r="F363" t="str">
        <f>IF(A363="","",SUMIFS(التحصيلات!$E:$E, التحصيلات!$J:$J, A363))</f>
        <v/>
      </c>
      <c r="G363" t="str">
        <f t="shared" si="10"/>
        <v/>
      </c>
      <c r="H363" t="str">
        <f t="shared" ca="1" si="11"/>
        <v/>
      </c>
    </row>
    <row r="364" spans="3:8" x14ac:dyDescent="0.25">
      <c r="C364" t="str">
        <f>IF(B364="","",IFERROR(INDEX(المبيعات!$C:$C,MATCH(B364,المبيعات!$A:$A,0)),""))</f>
        <v/>
      </c>
      <c r="F364" t="str">
        <f>IF(A364="","",SUMIFS(التحصيلات!$E:$E, التحصيلات!$J:$J, A364))</f>
        <v/>
      </c>
      <c r="G364" t="str">
        <f t="shared" si="10"/>
        <v/>
      </c>
      <c r="H364" t="str">
        <f t="shared" ca="1" si="11"/>
        <v/>
      </c>
    </row>
    <row r="365" spans="3:8" x14ac:dyDescent="0.25">
      <c r="C365" t="str">
        <f>IF(B365="","",IFERROR(INDEX(المبيعات!$C:$C,MATCH(B365,المبيعات!$A:$A,0)),""))</f>
        <v/>
      </c>
      <c r="F365" t="str">
        <f>IF(A365="","",SUMIFS(التحصيلات!$E:$E, التحصيلات!$J:$J, A365))</f>
        <v/>
      </c>
      <c r="G365" t="str">
        <f t="shared" si="10"/>
        <v/>
      </c>
      <c r="H365" t="str">
        <f t="shared" ca="1" si="11"/>
        <v/>
      </c>
    </row>
    <row r="366" spans="3:8" x14ac:dyDescent="0.25">
      <c r="C366" t="str">
        <f>IF(B366="","",IFERROR(INDEX(المبيعات!$C:$C,MATCH(B366,المبيعات!$A:$A,0)),""))</f>
        <v/>
      </c>
      <c r="F366" t="str">
        <f>IF(A366="","",SUMIFS(التحصيلات!$E:$E, التحصيلات!$J:$J, A366))</f>
        <v/>
      </c>
      <c r="G366" t="str">
        <f t="shared" si="10"/>
        <v/>
      </c>
      <c r="H366" t="str">
        <f t="shared" ca="1" si="11"/>
        <v/>
      </c>
    </row>
    <row r="367" spans="3:8" x14ac:dyDescent="0.25">
      <c r="C367" t="str">
        <f>IF(B367="","",IFERROR(INDEX(المبيعات!$C:$C,MATCH(B367,المبيعات!$A:$A,0)),""))</f>
        <v/>
      </c>
      <c r="F367" t="str">
        <f>IF(A367="","",SUMIFS(التحصيلات!$E:$E, التحصيلات!$J:$J, A367))</f>
        <v/>
      </c>
      <c r="G367" t="str">
        <f t="shared" si="10"/>
        <v/>
      </c>
      <c r="H367" t="str">
        <f t="shared" ca="1" si="11"/>
        <v/>
      </c>
    </row>
    <row r="368" spans="3:8" x14ac:dyDescent="0.25">
      <c r="C368" t="str">
        <f>IF(B368="","",IFERROR(INDEX(المبيعات!$C:$C,MATCH(B368,المبيعات!$A:$A,0)),""))</f>
        <v/>
      </c>
      <c r="F368" t="str">
        <f>IF(A368="","",SUMIFS(التحصيلات!$E:$E, التحصيلات!$J:$J, A368))</f>
        <v/>
      </c>
      <c r="G368" t="str">
        <f t="shared" si="10"/>
        <v/>
      </c>
      <c r="H368" t="str">
        <f t="shared" ca="1" si="11"/>
        <v/>
      </c>
    </row>
    <row r="369" spans="3:8" x14ac:dyDescent="0.25">
      <c r="C369" t="str">
        <f>IF(B369="","",IFERROR(INDEX(المبيعات!$C:$C,MATCH(B369,المبيعات!$A:$A,0)),""))</f>
        <v/>
      </c>
      <c r="F369" t="str">
        <f>IF(A369="","",SUMIFS(التحصيلات!$E:$E, التحصيلات!$J:$J, A369))</f>
        <v/>
      </c>
      <c r="G369" t="str">
        <f t="shared" si="10"/>
        <v/>
      </c>
      <c r="H369" t="str">
        <f t="shared" ca="1" si="11"/>
        <v/>
      </c>
    </row>
    <row r="370" spans="3:8" x14ac:dyDescent="0.25">
      <c r="C370" t="str">
        <f>IF(B370="","",IFERROR(INDEX(المبيعات!$C:$C,MATCH(B370,المبيعات!$A:$A,0)),""))</f>
        <v/>
      </c>
      <c r="F370" t="str">
        <f>IF(A370="","",SUMIFS(التحصيلات!$E:$E, التحصيلات!$J:$J, A370))</f>
        <v/>
      </c>
      <c r="G370" t="str">
        <f t="shared" si="10"/>
        <v/>
      </c>
      <c r="H370" t="str">
        <f t="shared" ca="1" si="11"/>
        <v/>
      </c>
    </row>
    <row r="371" spans="3:8" x14ac:dyDescent="0.25">
      <c r="C371" t="str">
        <f>IF(B371="","",IFERROR(INDEX(المبيعات!$C:$C,MATCH(B371,المبيعات!$A:$A,0)),""))</f>
        <v/>
      </c>
      <c r="F371" t="str">
        <f>IF(A371="","",SUMIFS(التحصيلات!$E:$E, التحصيلات!$J:$J, A371))</f>
        <v/>
      </c>
      <c r="G371" t="str">
        <f t="shared" si="10"/>
        <v/>
      </c>
      <c r="H371" t="str">
        <f t="shared" ca="1" si="11"/>
        <v/>
      </c>
    </row>
    <row r="372" spans="3:8" x14ac:dyDescent="0.25">
      <c r="C372" t="str">
        <f>IF(B372="","",IFERROR(INDEX(المبيعات!$C:$C,MATCH(B372,المبيعات!$A:$A,0)),""))</f>
        <v/>
      </c>
      <c r="F372" t="str">
        <f>IF(A372="","",SUMIFS(التحصيلات!$E:$E, التحصيلات!$J:$J, A372))</f>
        <v/>
      </c>
      <c r="G372" t="str">
        <f t="shared" si="10"/>
        <v/>
      </c>
      <c r="H372" t="str">
        <f t="shared" ca="1" si="11"/>
        <v/>
      </c>
    </row>
    <row r="373" spans="3:8" x14ac:dyDescent="0.25">
      <c r="C373" t="str">
        <f>IF(B373="","",IFERROR(INDEX(المبيعات!$C:$C,MATCH(B373,المبيعات!$A:$A,0)),""))</f>
        <v/>
      </c>
      <c r="F373" t="str">
        <f>IF(A373="","",SUMIFS(التحصيلات!$E:$E, التحصيلات!$J:$J, A373))</f>
        <v/>
      </c>
      <c r="G373" t="str">
        <f t="shared" si="10"/>
        <v/>
      </c>
      <c r="H373" t="str">
        <f t="shared" ca="1" si="11"/>
        <v/>
      </c>
    </row>
    <row r="374" spans="3:8" x14ac:dyDescent="0.25">
      <c r="C374" t="str">
        <f>IF(B374="","",IFERROR(INDEX(المبيعات!$C:$C,MATCH(B374,المبيعات!$A:$A,0)),""))</f>
        <v/>
      </c>
      <c r="F374" t="str">
        <f>IF(A374="","",SUMIFS(التحصيلات!$E:$E, التحصيلات!$J:$J, A374))</f>
        <v/>
      </c>
      <c r="G374" t="str">
        <f t="shared" si="10"/>
        <v/>
      </c>
      <c r="H374" t="str">
        <f t="shared" ca="1" si="11"/>
        <v/>
      </c>
    </row>
    <row r="375" spans="3:8" x14ac:dyDescent="0.25">
      <c r="C375" t="str">
        <f>IF(B375="","",IFERROR(INDEX(المبيعات!$C:$C,MATCH(B375,المبيعات!$A:$A,0)),""))</f>
        <v/>
      </c>
      <c r="F375" t="str">
        <f>IF(A375="","",SUMIFS(التحصيلات!$E:$E, التحصيلات!$J:$J, A375))</f>
        <v/>
      </c>
      <c r="G375" t="str">
        <f t="shared" si="10"/>
        <v/>
      </c>
      <c r="H375" t="str">
        <f t="shared" ca="1" si="11"/>
        <v/>
      </c>
    </row>
    <row r="376" spans="3:8" x14ac:dyDescent="0.25">
      <c r="C376" t="str">
        <f>IF(B376="","",IFERROR(INDEX(المبيعات!$C:$C,MATCH(B376,المبيعات!$A:$A,0)),""))</f>
        <v/>
      </c>
      <c r="F376" t="str">
        <f>IF(A376="","",SUMIFS(التحصيلات!$E:$E, التحصيلات!$J:$J, A376))</f>
        <v/>
      </c>
      <c r="G376" t="str">
        <f t="shared" si="10"/>
        <v/>
      </c>
      <c r="H376" t="str">
        <f t="shared" ca="1" si="11"/>
        <v/>
      </c>
    </row>
    <row r="377" spans="3:8" x14ac:dyDescent="0.25">
      <c r="C377" t="str">
        <f>IF(B377="","",IFERROR(INDEX(المبيعات!$C:$C,MATCH(B377,المبيعات!$A:$A,0)),""))</f>
        <v/>
      </c>
      <c r="F377" t="str">
        <f>IF(A377="","",SUMIFS(التحصيلات!$E:$E, التحصيلات!$J:$J, A377))</f>
        <v/>
      </c>
      <c r="G377" t="str">
        <f t="shared" si="10"/>
        <v/>
      </c>
      <c r="H377" t="str">
        <f t="shared" ca="1" si="11"/>
        <v/>
      </c>
    </row>
    <row r="378" spans="3:8" x14ac:dyDescent="0.25">
      <c r="C378" t="str">
        <f>IF(B378="","",IFERROR(INDEX(المبيعات!$C:$C,MATCH(B378,المبيعات!$A:$A,0)),""))</f>
        <v/>
      </c>
      <c r="F378" t="str">
        <f>IF(A378="","",SUMIFS(التحصيلات!$E:$E, التحصيلات!$J:$J, A378))</f>
        <v/>
      </c>
      <c r="G378" t="str">
        <f t="shared" si="10"/>
        <v/>
      </c>
      <c r="H378" t="str">
        <f t="shared" ca="1" si="11"/>
        <v/>
      </c>
    </row>
    <row r="379" spans="3:8" x14ac:dyDescent="0.25">
      <c r="C379" t="str">
        <f>IF(B379="","",IFERROR(INDEX(المبيعات!$C:$C,MATCH(B379,المبيعات!$A:$A,0)),""))</f>
        <v/>
      </c>
      <c r="F379" t="str">
        <f>IF(A379="","",SUMIFS(التحصيلات!$E:$E, التحصيلات!$J:$J, A379))</f>
        <v/>
      </c>
      <c r="G379" t="str">
        <f t="shared" si="10"/>
        <v/>
      </c>
      <c r="H379" t="str">
        <f t="shared" ca="1" si="11"/>
        <v/>
      </c>
    </row>
    <row r="380" spans="3:8" x14ac:dyDescent="0.25">
      <c r="C380" t="str">
        <f>IF(B380="","",IFERROR(INDEX(المبيعات!$C:$C,MATCH(B380,المبيعات!$A:$A,0)),""))</f>
        <v/>
      </c>
      <c r="F380" t="str">
        <f>IF(A380="","",SUMIFS(التحصيلات!$E:$E, التحصيلات!$J:$J, A380))</f>
        <v/>
      </c>
      <c r="G380" t="str">
        <f t="shared" si="10"/>
        <v/>
      </c>
      <c r="H380" t="str">
        <f t="shared" ca="1" si="11"/>
        <v/>
      </c>
    </row>
    <row r="381" spans="3:8" x14ac:dyDescent="0.25">
      <c r="C381" t="str">
        <f>IF(B381="","",IFERROR(INDEX(المبيعات!$C:$C,MATCH(B381,المبيعات!$A:$A,0)),""))</f>
        <v/>
      </c>
      <c r="F381" t="str">
        <f>IF(A381="","",SUMIFS(التحصيلات!$E:$E, التحصيلات!$J:$J, A381))</f>
        <v/>
      </c>
      <c r="G381" t="str">
        <f t="shared" si="10"/>
        <v/>
      </c>
      <c r="H381" t="str">
        <f t="shared" ca="1" si="11"/>
        <v/>
      </c>
    </row>
    <row r="382" spans="3:8" x14ac:dyDescent="0.25">
      <c r="C382" t="str">
        <f>IF(B382="","",IFERROR(INDEX(المبيعات!$C:$C,MATCH(B382,المبيعات!$A:$A,0)),""))</f>
        <v/>
      </c>
      <c r="F382" t="str">
        <f>IF(A382="","",SUMIFS(التحصيلات!$E:$E, التحصيلات!$J:$J, A382))</f>
        <v/>
      </c>
      <c r="G382" t="str">
        <f t="shared" si="10"/>
        <v/>
      </c>
      <c r="H382" t="str">
        <f t="shared" ca="1" si="11"/>
        <v/>
      </c>
    </row>
    <row r="383" spans="3:8" x14ac:dyDescent="0.25">
      <c r="C383" t="str">
        <f>IF(B383="","",IFERROR(INDEX(المبيعات!$C:$C,MATCH(B383,المبيعات!$A:$A,0)),""))</f>
        <v/>
      </c>
      <c r="F383" t="str">
        <f>IF(A383="","",SUMIFS(التحصيلات!$E:$E, التحصيلات!$J:$J, A383))</f>
        <v/>
      </c>
      <c r="G383" t="str">
        <f t="shared" si="10"/>
        <v/>
      </c>
      <c r="H383" t="str">
        <f t="shared" ca="1" si="11"/>
        <v/>
      </c>
    </row>
    <row r="384" spans="3:8" x14ac:dyDescent="0.25">
      <c r="C384" t="str">
        <f>IF(B384="","",IFERROR(INDEX(المبيعات!$C:$C,MATCH(B384,المبيعات!$A:$A,0)),""))</f>
        <v/>
      </c>
      <c r="F384" t="str">
        <f>IF(A384="","",SUMIFS(التحصيلات!$E:$E, التحصيلات!$J:$J, A384))</f>
        <v/>
      </c>
      <c r="G384" t="str">
        <f t="shared" si="10"/>
        <v/>
      </c>
      <c r="H384" t="str">
        <f t="shared" ca="1" si="11"/>
        <v/>
      </c>
    </row>
    <row r="385" spans="3:8" x14ac:dyDescent="0.25">
      <c r="C385" t="str">
        <f>IF(B385="","",IFERROR(INDEX(المبيعات!$C:$C,MATCH(B385,المبيعات!$A:$A,0)),""))</f>
        <v/>
      </c>
      <c r="F385" t="str">
        <f>IF(A385="","",SUMIFS(التحصيلات!$E:$E, التحصيلات!$J:$J, A385))</f>
        <v/>
      </c>
      <c r="G385" t="str">
        <f t="shared" si="10"/>
        <v/>
      </c>
      <c r="H385" t="str">
        <f t="shared" ca="1" si="11"/>
        <v/>
      </c>
    </row>
    <row r="386" spans="3:8" x14ac:dyDescent="0.25">
      <c r="C386" t="str">
        <f>IF(B386="","",IFERROR(INDEX(المبيعات!$C:$C,MATCH(B386,المبيعات!$A:$A,0)),""))</f>
        <v/>
      </c>
      <c r="F386" t="str">
        <f>IF(A386="","",SUMIFS(التحصيلات!$E:$E, التحصيلات!$J:$J, A386))</f>
        <v/>
      </c>
      <c r="G386" t="str">
        <f t="shared" si="10"/>
        <v/>
      </c>
      <c r="H386" t="str">
        <f t="shared" ca="1" si="11"/>
        <v/>
      </c>
    </row>
    <row r="387" spans="3:8" x14ac:dyDescent="0.25">
      <c r="C387" t="str">
        <f>IF(B387="","",IFERROR(INDEX(المبيعات!$C:$C,MATCH(B387,المبيعات!$A:$A,0)),""))</f>
        <v/>
      </c>
      <c r="F387" t="str">
        <f>IF(A387="","",SUMIFS(التحصيلات!$E:$E, التحصيلات!$J:$J, A387))</f>
        <v/>
      </c>
      <c r="G387" t="str">
        <f t="shared" ref="G387:G450" si="12">IF(A387="","", E387 - F387)</f>
        <v/>
      </c>
      <c r="H387" t="str">
        <f t="shared" ref="H387:H450" ca="1" si="13">IF(A387="","",IF(ROUND(G387,2)&lt;=0,"مدفوع",IF(ROUND(F387,2)&gt;0,"مدفوع جزئياً",IF(AND(D387&lt;&gt;"",D387&lt;TODAY()),"متأخر","مستحق"))))</f>
        <v/>
      </c>
    </row>
    <row r="388" spans="3:8" x14ac:dyDescent="0.25">
      <c r="C388" t="str">
        <f>IF(B388="","",IFERROR(INDEX(المبيعات!$C:$C,MATCH(B388,المبيعات!$A:$A,0)),""))</f>
        <v/>
      </c>
      <c r="F388" t="str">
        <f>IF(A388="","",SUMIFS(التحصيلات!$E:$E, التحصيلات!$J:$J, A388))</f>
        <v/>
      </c>
      <c r="G388" t="str">
        <f t="shared" si="12"/>
        <v/>
      </c>
      <c r="H388" t="str">
        <f t="shared" ca="1" si="13"/>
        <v/>
      </c>
    </row>
    <row r="389" spans="3:8" x14ac:dyDescent="0.25">
      <c r="C389" t="str">
        <f>IF(B389="","",IFERROR(INDEX(المبيعات!$C:$C,MATCH(B389,المبيعات!$A:$A,0)),""))</f>
        <v/>
      </c>
      <c r="F389" t="str">
        <f>IF(A389="","",SUMIFS(التحصيلات!$E:$E, التحصيلات!$J:$J, A389))</f>
        <v/>
      </c>
      <c r="G389" t="str">
        <f t="shared" si="12"/>
        <v/>
      </c>
      <c r="H389" t="str">
        <f t="shared" ca="1" si="13"/>
        <v/>
      </c>
    </row>
    <row r="390" spans="3:8" x14ac:dyDescent="0.25">
      <c r="C390" t="str">
        <f>IF(B390="","",IFERROR(INDEX(المبيعات!$C:$C,MATCH(B390,المبيعات!$A:$A,0)),""))</f>
        <v/>
      </c>
      <c r="F390" t="str">
        <f>IF(A390="","",SUMIFS(التحصيلات!$E:$E, التحصيلات!$J:$J, A390))</f>
        <v/>
      </c>
      <c r="G390" t="str">
        <f t="shared" si="12"/>
        <v/>
      </c>
      <c r="H390" t="str">
        <f t="shared" ca="1" si="13"/>
        <v/>
      </c>
    </row>
    <row r="391" spans="3:8" x14ac:dyDescent="0.25">
      <c r="C391" t="str">
        <f>IF(B391="","",IFERROR(INDEX(المبيعات!$C:$C,MATCH(B391,المبيعات!$A:$A,0)),""))</f>
        <v/>
      </c>
      <c r="F391" t="str">
        <f>IF(A391="","",SUMIFS(التحصيلات!$E:$E, التحصيلات!$J:$J, A391))</f>
        <v/>
      </c>
      <c r="G391" t="str">
        <f t="shared" si="12"/>
        <v/>
      </c>
      <c r="H391" t="str">
        <f t="shared" ca="1" si="13"/>
        <v/>
      </c>
    </row>
    <row r="392" spans="3:8" x14ac:dyDescent="0.25">
      <c r="C392" t="str">
        <f>IF(B392="","",IFERROR(INDEX(المبيعات!$C:$C,MATCH(B392,المبيعات!$A:$A,0)),""))</f>
        <v/>
      </c>
      <c r="F392" t="str">
        <f>IF(A392="","",SUMIFS(التحصيلات!$E:$E, التحصيلات!$J:$J, A392))</f>
        <v/>
      </c>
      <c r="G392" t="str">
        <f t="shared" si="12"/>
        <v/>
      </c>
      <c r="H392" t="str">
        <f t="shared" ca="1" si="13"/>
        <v/>
      </c>
    </row>
    <row r="393" spans="3:8" x14ac:dyDescent="0.25">
      <c r="C393" t="str">
        <f>IF(B393="","",IFERROR(INDEX(المبيعات!$C:$C,MATCH(B393,المبيعات!$A:$A,0)),""))</f>
        <v/>
      </c>
      <c r="F393" t="str">
        <f>IF(A393="","",SUMIFS(التحصيلات!$E:$E, التحصيلات!$J:$J, A393))</f>
        <v/>
      </c>
      <c r="G393" t="str">
        <f t="shared" si="12"/>
        <v/>
      </c>
      <c r="H393" t="str">
        <f t="shared" ca="1" si="13"/>
        <v/>
      </c>
    </row>
    <row r="394" spans="3:8" x14ac:dyDescent="0.25">
      <c r="C394" t="str">
        <f>IF(B394="","",IFERROR(INDEX(المبيعات!$C:$C,MATCH(B394,المبيعات!$A:$A,0)),""))</f>
        <v/>
      </c>
      <c r="F394" t="str">
        <f>IF(A394="","",SUMIFS(التحصيلات!$E:$E, التحصيلات!$J:$J, A394))</f>
        <v/>
      </c>
      <c r="G394" t="str">
        <f t="shared" si="12"/>
        <v/>
      </c>
      <c r="H394" t="str">
        <f t="shared" ca="1" si="13"/>
        <v/>
      </c>
    </row>
    <row r="395" spans="3:8" x14ac:dyDescent="0.25">
      <c r="C395" t="str">
        <f>IF(B395="","",IFERROR(INDEX(المبيعات!$C:$C,MATCH(B395,المبيعات!$A:$A,0)),""))</f>
        <v/>
      </c>
      <c r="F395" t="str">
        <f>IF(A395="","",SUMIFS(التحصيلات!$E:$E, التحصيلات!$J:$J, A395))</f>
        <v/>
      </c>
      <c r="G395" t="str">
        <f t="shared" si="12"/>
        <v/>
      </c>
      <c r="H395" t="str">
        <f t="shared" ca="1" si="13"/>
        <v/>
      </c>
    </row>
    <row r="396" spans="3:8" x14ac:dyDescent="0.25">
      <c r="C396" t="str">
        <f>IF(B396="","",IFERROR(INDEX(المبيعات!$C:$C,MATCH(B396,المبيعات!$A:$A,0)),""))</f>
        <v/>
      </c>
      <c r="F396" t="str">
        <f>IF(A396="","",SUMIFS(التحصيلات!$E:$E, التحصيلات!$J:$J, A396))</f>
        <v/>
      </c>
      <c r="G396" t="str">
        <f t="shared" si="12"/>
        <v/>
      </c>
      <c r="H396" t="str">
        <f t="shared" ca="1" si="13"/>
        <v/>
      </c>
    </row>
    <row r="397" spans="3:8" x14ac:dyDescent="0.25">
      <c r="C397" t="str">
        <f>IF(B397="","",IFERROR(INDEX(المبيعات!$C:$C,MATCH(B397,المبيعات!$A:$A,0)),""))</f>
        <v/>
      </c>
      <c r="F397" t="str">
        <f>IF(A397="","",SUMIFS(التحصيلات!$E:$E, التحصيلات!$J:$J, A397))</f>
        <v/>
      </c>
      <c r="G397" t="str">
        <f t="shared" si="12"/>
        <v/>
      </c>
      <c r="H397" t="str">
        <f t="shared" ca="1" si="13"/>
        <v/>
      </c>
    </row>
    <row r="398" spans="3:8" x14ac:dyDescent="0.25">
      <c r="C398" t="str">
        <f>IF(B398="","",IFERROR(INDEX(المبيعات!$C:$C,MATCH(B398,المبيعات!$A:$A,0)),""))</f>
        <v/>
      </c>
      <c r="F398" t="str">
        <f>IF(A398="","",SUMIFS(التحصيلات!$E:$E, التحصيلات!$J:$J, A398))</f>
        <v/>
      </c>
      <c r="G398" t="str">
        <f t="shared" si="12"/>
        <v/>
      </c>
      <c r="H398" t="str">
        <f t="shared" ca="1" si="13"/>
        <v/>
      </c>
    </row>
    <row r="399" spans="3:8" x14ac:dyDescent="0.25">
      <c r="C399" t="str">
        <f>IF(B399="","",IFERROR(INDEX(المبيعات!$C:$C,MATCH(B399,المبيعات!$A:$A,0)),""))</f>
        <v/>
      </c>
      <c r="F399" t="str">
        <f>IF(A399="","",SUMIFS(التحصيلات!$E:$E, التحصيلات!$J:$J, A399))</f>
        <v/>
      </c>
      <c r="G399" t="str">
        <f t="shared" si="12"/>
        <v/>
      </c>
      <c r="H399" t="str">
        <f t="shared" ca="1" si="13"/>
        <v/>
      </c>
    </row>
    <row r="400" spans="3:8" x14ac:dyDescent="0.25">
      <c r="C400" t="str">
        <f>IF(B400="","",IFERROR(INDEX(المبيعات!$C:$C,MATCH(B400,المبيعات!$A:$A,0)),""))</f>
        <v/>
      </c>
      <c r="F400" t="str">
        <f>IF(A400="","",SUMIFS(التحصيلات!$E:$E, التحصيلات!$J:$J, A400))</f>
        <v/>
      </c>
      <c r="G400" t="str">
        <f t="shared" si="12"/>
        <v/>
      </c>
      <c r="H400" t="str">
        <f t="shared" ca="1" si="13"/>
        <v/>
      </c>
    </row>
    <row r="401" spans="3:8" x14ac:dyDescent="0.25">
      <c r="C401" t="str">
        <f>IF(B401="","",IFERROR(INDEX(المبيعات!$C:$C,MATCH(B401,المبيعات!$A:$A,0)),""))</f>
        <v/>
      </c>
      <c r="F401" t="str">
        <f>IF(A401="","",SUMIFS(التحصيلات!$E:$E, التحصيلات!$J:$J, A401))</f>
        <v/>
      </c>
      <c r="G401" t="str">
        <f t="shared" si="12"/>
        <v/>
      </c>
      <c r="H401" t="str">
        <f t="shared" ca="1" si="13"/>
        <v/>
      </c>
    </row>
    <row r="402" spans="3:8" x14ac:dyDescent="0.25">
      <c r="C402" t="str">
        <f>IF(B402="","",IFERROR(INDEX(المبيعات!$C:$C,MATCH(B402,المبيعات!$A:$A,0)),""))</f>
        <v/>
      </c>
      <c r="F402" t="str">
        <f>IF(A402="","",SUMIFS(التحصيلات!$E:$E, التحصيلات!$J:$J, A402))</f>
        <v/>
      </c>
      <c r="G402" t="str">
        <f t="shared" si="12"/>
        <v/>
      </c>
      <c r="H402" t="str">
        <f t="shared" ca="1" si="13"/>
        <v/>
      </c>
    </row>
    <row r="403" spans="3:8" x14ac:dyDescent="0.25">
      <c r="C403" t="str">
        <f>IF(B403="","",IFERROR(INDEX(المبيعات!$C:$C,MATCH(B403,المبيعات!$A:$A,0)),""))</f>
        <v/>
      </c>
      <c r="F403" t="str">
        <f>IF(A403="","",SUMIFS(التحصيلات!$E:$E, التحصيلات!$J:$J, A403))</f>
        <v/>
      </c>
      <c r="G403" t="str">
        <f t="shared" si="12"/>
        <v/>
      </c>
      <c r="H403" t="str">
        <f t="shared" ca="1" si="13"/>
        <v/>
      </c>
    </row>
    <row r="404" spans="3:8" x14ac:dyDescent="0.25">
      <c r="C404" t="str">
        <f>IF(B404="","",IFERROR(INDEX(المبيعات!$C:$C,MATCH(B404,المبيعات!$A:$A,0)),""))</f>
        <v/>
      </c>
      <c r="F404" t="str">
        <f>IF(A404="","",SUMIFS(التحصيلات!$E:$E, التحصيلات!$J:$J, A404))</f>
        <v/>
      </c>
      <c r="G404" t="str">
        <f t="shared" si="12"/>
        <v/>
      </c>
      <c r="H404" t="str">
        <f t="shared" ca="1" si="13"/>
        <v/>
      </c>
    </row>
    <row r="405" spans="3:8" x14ac:dyDescent="0.25">
      <c r="C405" t="str">
        <f>IF(B405="","",IFERROR(INDEX(المبيعات!$C:$C,MATCH(B405,المبيعات!$A:$A,0)),""))</f>
        <v/>
      </c>
      <c r="F405" t="str">
        <f>IF(A405="","",SUMIFS(التحصيلات!$E:$E, التحصيلات!$J:$J, A405))</f>
        <v/>
      </c>
      <c r="G405" t="str">
        <f t="shared" si="12"/>
        <v/>
      </c>
      <c r="H405" t="str">
        <f t="shared" ca="1" si="13"/>
        <v/>
      </c>
    </row>
    <row r="406" spans="3:8" x14ac:dyDescent="0.25">
      <c r="C406" t="str">
        <f>IF(B406="","",IFERROR(INDEX(المبيعات!$C:$C,MATCH(B406,المبيعات!$A:$A,0)),""))</f>
        <v/>
      </c>
      <c r="F406" t="str">
        <f>IF(A406="","",SUMIFS(التحصيلات!$E:$E, التحصيلات!$J:$J, A406))</f>
        <v/>
      </c>
      <c r="G406" t="str">
        <f t="shared" si="12"/>
        <v/>
      </c>
      <c r="H406" t="str">
        <f t="shared" ca="1" si="13"/>
        <v/>
      </c>
    </row>
    <row r="407" spans="3:8" x14ac:dyDescent="0.25">
      <c r="C407" t="str">
        <f>IF(B407="","",IFERROR(INDEX(المبيعات!$C:$C,MATCH(B407,المبيعات!$A:$A,0)),""))</f>
        <v/>
      </c>
      <c r="F407" t="str">
        <f>IF(A407="","",SUMIFS(التحصيلات!$E:$E, التحصيلات!$J:$J, A407))</f>
        <v/>
      </c>
      <c r="G407" t="str">
        <f t="shared" si="12"/>
        <v/>
      </c>
      <c r="H407" t="str">
        <f t="shared" ca="1" si="13"/>
        <v/>
      </c>
    </row>
    <row r="408" spans="3:8" x14ac:dyDescent="0.25">
      <c r="C408" t="str">
        <f>IF(B408="","",IFERROR(INDEX(المبيعات!$C:$C,MATCH(B408,المبيعات!$A:$A,0)),""))</f>
        <v/>
      </c>
      <c r="F408" t="str">
        <f>IF(A408="","",SUMIFS(التحصيلات!$E:$E, التحصيلات!$J:$J, A408))</f>
        <v/>
      </c>
      <c r="G408" t="str">
        <f t="shared" si="12"/>
        <v/>
      </c>
      <c r="H408" t="str">
        <f t="shared" ca="1" si="13"/>
        <v/>
      </c>
    </row>
    <row r="409" spans="3:8" x14ac:dyDescent="0.25">
      <c r="C409" t="str">
        <f>IF(B409="","",IFERROR(INDEX(المبيعات!$C:$C,MATCH(B409,المبيعات!$A:$A,0)),""))</f>
        <v/>
      </c>
      <c r="F409" t="str">
        <f>IF(A409="","",SUMIFS(التحصيلات!$E:$E, التحصيلات!$J:$J, A409))</f>
        <v/>
      </c>
      <c r="G409" t="str">
        <f t="shared" si="12"/>
        <v/>
      </c>
      <c r="H409" t="str">
        <f t="shared" ca="1" si="13"/>
        <v/>
      </c>
    </row>
    <row r="410" spans="3:8" x14ac:dyDescent="0.25">
      <c r="C410" t="str">
        <f>IF(B410="","",IFERROR(INDEX(المبيعات!$C:$C,MATCH(B410,المبيعات!$A:$A,0)),""))</f>
        <v/>
      </c>
      <c r="F410" t="str">
        <f>IF(A410="","",SUMIFS(التحصيلات!$E:$E, التحصيلات!$J:$J, A410))</f>
        <v/>
      </c>
      <c r="G410" t="str">
        <f t="shared" si="12"/>
        <v/>
      </c>
      <c r="H410" t="str">
        <f t="shared" ca="1" si="13"/>
        <v/>
      </c>
    </row>
    <row r="411" spans="3:8" x14ac:dyDescent="0.25">
      <c r="C411" t="str">
        <f>IF(B411="","",IFERROR(INDEX(المبيعات!$C:$C,MATCH(B411,المبيعات!$A:$A,0)),""))</f>
        <v/>
      </c>
      <c r="F411" t="str">
        <f>IF(A411="","",SUMIFS(التحصيلات!$E:$E, التحصيلات!$J:$J, A411))</f>
        <v/>
      </c>
      <c r="G411" t="str">
        <f t="shared" si="12"/>
        <v/>
      </c>
      <c r="H411" t="str">
        <f t="shared" ca="1" si="13"/>
        <v/>
      </c>
    </row>
    <row r="412" spans="3:8" x14ac:dyDescent="0.25">
      <c r="C412" t="str">
        <f>IF(B412="","",IFERROR(INDEX(المبيعات!$C:$C,MATCH(B412,المبيعات!$A:$A,0)),""))</f>
        <v/>
      </c>
      <c r="F412" t="str">
        <f>IF(A412="","",SUMIFS(التحصيلات!$E:$E, التحصيلات!$J:$J, A412))</f>
        <v/>
      </c>
      <c r="G412" t="str">
        <f t="shared" si="12"/>
        <v/>
      </c>
      <c r="H412" t="str">
        <f t="shared" ca="1" si="13"/>
        <v/>
      </c>
    </row>
    <row r="413" spans="3:8" x14ac:dyDescent="0.25">
      <c r="C413" t="str">
        <f>IF(B413="","",IFERROR(INDEX(المبيعات!$C:$C,MATCH(B413,المبيعات!$A:$A,0)),""))</f>
        <v/>
      </c>
      <c r="F413" t="str">
        <f>IF(A413="","",SUMIFS(التحصيلات!$E:$E, التحصيلات!$J:$J, A413))</f>
        <v/>
      </c>
      <c r="G413" t="str">
        <f t="shared" si="12"/>
        <v/>
      </c>
      <c r="H413" t="str">
        <f t="shared" ca="1" si="13"/>
        <v/>
      </c>
    </row>
    <row r="414" spans="3:8" x14ac:dyDescent="0.25">
      <c r="C414" t="str">
        <f>IF(B414="","",IFERROR(INDEX(المبيعات!$C:$C,MATCH(B414,المبيعات!$A:$A,0)),""))</f>
        <v/>
      </c>
      <c r="F414" t="str">
        <f>IF(A414="","",SUMIFS(التحصيلات!$E:$E, التحصيلات!$J:$J, A414))</f>
        <v/>
      </c>
      <c r="G414" t="str">
        <f t="shared" si="12"/>
        <v/>
      </c>
      <c r="H414" t="str">
        <f t="shared" ca="1" si="13"/>
        <v/>
      </c>
    </row>
    <row r="415" spans="3:8" x14ac:dyDescent="0.25">
      <c r="C415" t="str">
        <f>IF(B415="","",IFERROR(INDEX(المبيعات!$C:$C,MATCH(B415,المبيعات!$A:$A,0)),""))</f>
        <v/>
      </c>
      <c r="F415" t="str">
        <f>IF(A415="","",SUMIFS(التحصيلات!$E:$E, التحصيلات!$J:$J, A415))</f>
        <v/>
      </c>
      <c r="G415" t="str">
        <f t="shared" si="12"/>
        <v/>
      </c>
      <c r="H415" t="str">
        <f t="shared" ca="1" si="13"/>
        <v/>
      </c>
    </row>
    <row r="416" spans="3:8" x14ac:dyDescent="0.25">
      <c r="C416" t="str">
        <f>IF(B416="","",IFERROR(INDEX(المبيعات!$C:$C,MATCH(B416,المبيعات!$A:$A,0)),""))</f>
        <v/>
      </c>
      <c r="F416" t="str">
        <f>IF(A416="","",SUMIFS(التحصيلات!$E:$E, التحصيلات!$J:$J, A416))</f>
        <v/>
      </c>
      <c r="G416" t="str">
        <f t="shared" si="12"/>
        <v/>
      </c>
      <c r="H416" t="str">
        <f t="shared" ca="1" si="13"/>
        <v/>
      </c>
    </row>
    <row r="417" spans="3:8" x14ac:dyDescent="0.25">
      <c r="C417" t="str">
        <f>IF(B417="","",IFERROR(INDEX(المبيعات!$C:$C,MATCH(B417,المبيعات!$A:$A,0)),""))</f>
        <v/>
      </c>
      <c r="F417" t="str">
        <f>IF(A417="","",SUMIFS(التحصيلات!$E:$E, التحصيلات!$J:$J, A417))</f>
        <v/>
      </c>
      <c r="G417" t="str">
        <f t="shared" si="12"/>
        <v/>
      </c>
      <c r="H417" t="str">
        <f t="shared" ca="1" si="13"/>
        <v/>
      </c>
    </row>
    <row r="418" spans="3:8" x14ac:dyDescent="0.25">
      <c r="C418" t="str">
        <f>IF(B418="","",IFERROR(INDEX(المبيعات!$C:$C,MATCH(B418,المبيعات!$A:$A,0)),""))</f>
        <v/>
      </c>
      <c r="F418" t="str">
        <f>IF(A418="","",SUMIFS(التحصيلات!$E:$E, التحصيلات!$J:$J, A418))</f>
        <v/>
      </c>
      <c r="G418" t="str">
        <f t="shared" si="12"/>
        <v/>
      </c>
      <c r="H418" t="str">
        <f t="shared" ca="1" si="13"/>
        <v/>
      </c>
    </row>
    <row r="419" spans="3:8" x14ac:dyDescent="0.25">
      <c r="C419" t="str">
        <f>IF(B419="","",IFERROR(INDEX(المبيعات!$C:$C,MATCH(B419,المبيعات!$A:$A,0)),""))</f>
        <v/>
      </c>
      <c r="F419" t="str">
        <f>IF(A419="","",SUMIFS(التحصيلات!$E:$E, التحصيلات!$J:$J, A419))</f>
        <v/>
      </c>
      <c r="G419" t="str">
        <f t="shared" si="12"/>
        <v/>
      </c>
      <c r="H419" t="str">
        <f t="shared" ca="1" si="13"/>
        <v/>
      </c>
    </row>
    <row r="420" spans="3:8" x14ac:dyDescent="0.25">
      <c r="C420" t="str">
        <f>IF(B420="","",IFERROR(INDEX(المبيعات!$C:$C,MATCH(B420,المبيعات!$A:$A,0)),""))</f>
        <v/>
      </c>
      <c r="F420" t="str">
        <f>IF(A420="","",SUMIFS(التحصيلات!$E:$E, التحصيلات!$J:$J, A420))</f>
        <v/>
      </c>
      <c r="G420" t="str">
        <f t="shared" si="12"/>
        <v/>
      </c>
      <c r="H420" t="str">
        <f t="shared" ca="1" si="13"/>
        <v/>
      </c>
    </row>
    <row r="421" spans="3:8" x14ac:dyDescent="0.25">
      <c r="C421" t="str">
        <f>IF(B421="","",IFERROR(INDEX(المبيعات!$C:$C,MATCH(B421,المبيعات!$A:$A,0)),""))</f>
        <v/>
      </c>
      <c r="F421" t="str">
        <f>IF(A421="","",SUMIFS(التحصيلات!$E:$E, التحصيلات!$J:$J, A421))</f>
        <v/>
      </c>
      <c r="G421" t="str">
        <f t="shared" si="12"/>
        <v/>
      </c>
      <c r="H421" t="str">
        <f t="shared" ca="1" si="13"/>
        <v/>
      </c>
    </row>
    <row r="422" spans="3:8" x14ac:dyDescent="0.25">
      <c r="C422" t="str">
        <f>IF(B422="","",IFERROR(INDEX(المبيعات!$C:$C,MATCH(B422,المبيعات!$A:$A,0)),""))</f>
        <v/>
      </c>
      <c r="F422" t="str">
        <f>IF(A422="","",SUMIFS(التحصيلات!$E:$E, التحصيلات!$J:$J, A422))</f>
        <v/>
      </c>
      <c r="G422" t="str">
        <f t="shared" si="12"/>
        <v/>
      </c>
      <c r="H422" t="str">
        <f t="shared" ca="1" si="13"/>
        <v/>
      </c>
    </row>
    <row r="423" spans="3:8" x14ac:dyDescent="0.25">
      <c r="C423" t="str">
        <f>IF(B423="","",IFERROR(INDEX(المبيعات!$C:$C,MATCH(B423,المبيعات!$A:$A,0)),""))</f>
        <v/>
      </c>
      <c r="F423" t="str">
        <f>IF(A423="","",SUMIFS(التحصيلات!$E:$E, التحصيلات!$J:$J, A423))</f>
        <v/>
      </c>
      <c r="G423" t="str">
        <f t="shared" si="12"/>
        <v/>
      </c>
      <c r="H423" t="str">
        <f t="shared" ca="1" si="13"/>
        <v/>
      </c>
    </row>
    <row r="424" spans="3:8" x14ac:dyDescent="0.25">
      <c r="C424" t="str">
        <f>IF(B424="","",IFERROR(INDEX(المبيعات!$C:$C,MATCH(B424,المبيعات!$A:$A,0)),""))</f>
        <v/>
      </c>
      <c r="F424" t="str">
        <f>IF(A424="","",SUMIFS(التحصيلات!$E:$E, التحصيلات!$J:$J, A424))</f>
        <v/>
      </c>
      <c r="G424" t="str">
        <f t="shared" si="12"/>
        <v/>
      </c>
      <c r="H424" t="str">
        <f t="shared" ca="1" si="13"/>
        <v/>
      </c>
    </row>
    <row r="425" spans="3:8" x14ac:dyDescent="0.25">
      <c r="C425" t="str">
        <f>IF(B425="","",IFERROR(INDEX(المبيعات!$C:$C,MATCH(B425,المبيعات!$A:$A,0)),""))</f>
        <v/>
      </c>
      <c r="F425" t="str">
        <f>IF(A425="","",SUMIFS(التحصيلات!$E:$E, التحصيلات!$J:$J, A425))</f>
        <v/>
      </c>
      <c r="G425" t="str">
        <f t="shared" si="12"/>
        <v/>
      </c>
      <c r="H425" t="str">
        <f t="shared" ca="1" si="13"/>
        <v/>
      </c>
    </row>
    <row r="426" spans="3:8" x14ac:dyDescent="0.25">
      <c r="C426" t="str">
        <f>IF(B426="","",IFERROR(INDEX(المبيعات!$C:$C,MATCH(B426,المبيعات!$A:$A,0)),""))</f>
        <v/>
      </c>
      <c r="F426" t="str">
        <f>IF(A426="","",SUMIFS(التحصيلات!$E:$E, التحصيلات!$J:$J, A426))</f>
        <v/>
      </c>
      <c r="G426" t="str">
        <f t="shared" si="12"/>
        <v/>
      </c>
      <c r="H426" t="str">
        <f t="shared" ca="1" si="13"/>
        <v/>
      </c>
    </row>
    <row r="427" spans="3:8" x14ac:dyDescent="0.25">
      <c r="C427" t="str">
        <f>IF(B427="","",IFERROR(INDEX(المبيعات!$C:$C,MATCH(B427,المبيعات!$A:$A,0)),""))</f>
        <v/>
      </c>
      <c r="F427" t="str">
        <f>IF(A427="","",SUMIFS(التحصيلات!$E:$E, التحصيلات!$J:$J, A427))</f>
        <v/>
      </c>
      <c r="G427" t="str">
        <f t="shared" si="12"/>
        <v/>
      </c>
      <c r="H427" t="str">
        <f t="shared" ca="1" si="13"/>
        <v/>
      </c>
    </row>
    <row r="428" spans="3:8" x14ac:dyDescent="0.25">
      <c r="C428" t="str">
        <f>IF(B428="","",IFERROR(INDEX(المبيعات!$C:$C,MATCH(B428,المبيعات!$A:$A,0)),""))</f>
        <v/>
      </c>
      <c r="F428" t="str">
        <f>IF(A428="","",SUMIFS(التحصيلات!$E:$E, التحصيلات!$J:$J, A428))</f>
        <v/>
      </c>
      <c r="G428" t="str">
        <f t="shared" si="12"/>
        <v/>
      </c>
      <c r="H428" t="str">
        <f t="shared" ca="1" si="13"/>
        <v/>
      </c>
    </row>
    <row r="429" spans="3:8" x14ac:dyDescent="0.25">
      <c r="C429" t="str">
        <f>IF(B429="","",IFERROR(INDEX(المبيعات!$C:$C,MATCH(B429,المبيعات!$A:$A,0)),""))</f>
        <v/>
      </c>
      <c r="F429" t="str">
        <f>IF(A429="","",SUMIFS(التحصيلات!$E:$E, التحصيلات!$J:$J, A429))</f>
        <v/>
      </c>
      <c r="G429" t="str">
        <f t="shared" si="12"/>
        <v/>
      </c>
      <c r="H429" t="str">
        <f t="shared" ca="1" si="13"/>
        <v/>
      </c>
    </row>
    <row r="430" spans="3:8" x14ac:dyDescent="0.25">
      <c r="C430" t="str">
        <f>IF(B430="","",IFERROR(INDEX(المبيعات!$C:$C,MATCH(B430,المبيعات!$A:$A,0)),""))</f>
        <v/>
      </c>
      <c r="F430" t="str">
        <f>IF(A430="","",SUMIFS(التحصيلات!$E:$E, التحصيلات!$J:$J, A430))</f>
        <v/>
      </c>
      <c r="G430" t="str">
        <f t="shared" si="12"/>
        <v/>
      </c>
      <c r="H430" t="str">
        <f t="shared" ca="1" si="13"/>
        <v/>
      </c>
    </row>
    <row r="431" spans="3:8" x14ac:dyDescent="0.25">
      <c r="C431" t="str">
        <f>IF(B431="","",IFERROR(INDEX(المبيعات!$C:$C,MATCH(B431,المبيعات!$A:$A,0)),""))</f>
        <v/>
      </c>
      <c r="F431" t="str">
        <f>IF(A431="","",SUMIFS(التحصيلات!$E:$E, التحصيلات!$J:$J, A431))</f>
        <v/>
      </c>
      <c r="G431" t="str">
        <f t="shared" si="12"/>
        <v/>
      </c>
      <c r="H431" t="str">
        <f t="shared" ca="1" si="13"/>
        <v/>
      </c>
    </row>
    <row r="432" spans="3:8" x14ac:dyDescent="0.25">
      <c r="C432" t="str">
        <f>IF(B432="","",IFERROR(INDEX(المبيعات!$C:$C,MATCH(B432,المبيعات!$A:$A,0)),""))</f>
        <v/>
      </c>
      <c r="F432" t="str">
        <f>IF(A432="","",SUMIFS(التحصيلات!$E:$E, التحصيلات!$J:$J, A432))</f>
        <v/>
      </c>
      <c r="G432" t="str">
        <f t="shared" si="12"/>
        <v/>
      </c>
      <c r="H432" t="str">
        <f t="shared" ca="1" si="13"/>
        <v/>
      </c>
    </row>
    <row r="433" spans="3:8" x14ac:dyDescent="0.25">
      <c r="C433" t="str">
        <f>IF(B433="","",IFERROR(INDEX(المبيعات!$C:$C,MATCH(B433,المبيعات!$A:$A,0)),""))</f>
        <v/>
      </c>
      <c r="F433" t="str">
        <f>IF(A433="","",SUMIFS(التحصيلات!$E:$E, التحصيلات!$J:$J, A433))</f>
        <v/>
      </c>
      <c r="G433" t="str">
        <f t="shared" si="12"/>
        <v/>
      </c>
      <c r="H433" t="str">
        <f t="shared" ca="1" si="13"/>
        <v/>
      </c>
    </row>
    <row r="434" spans="3:8" x14ac:dyDescent="0.25">
      <c r="C434" t="str">
        <f>IF(B434="","",IFERROR(INDEX(المبيعات!$C:$C,MATCH(B434,المبيعات!$A:$A,0)),""))</f>
        <v/>
      </c>
      <c r="F434" t="str">
        <f>IF(A434="","",SUMIFS(التحصيلات!$E:$E, التحصيلات!$J:$J, A434))</f>
        <v/>
      </c>
      <c r="G434" t="str">
        <f t="shared" si="12"/>
        <v/>
      </c>
      <c r="H434" t="str">
        <f t="shared" ca="1" si="13"/>
        <v/>
      </c>
    </row>
    <row r="435" spans="3:8" x14ac:dyDescent="0.25">
      <c r="C435" t="str">
        <f>IF(B435="","",IFERROR(INDEX(المبيعات!$C:$C,MATCH(B435,المبيعات!$A:$A,0)),""))</f>
        <v/>
      </c>
      <c r="F435" t="str">
        <f>IF(A435="","",SUMIFS(التحصيلات!$E:$E, التحصيلات!$J:$J, A435))</f>
        <v/>
      </c>
      <c r="G435" t="str">
        <f t="shared" si="12"/>
        <v/>
      </c>
      <c r="H435" t="str">
        <f t="shared" ca="1" si="13"/>
        <v/>
      </c>
    </row>
    <row r="436" spans="3:8" x14ac:dyDescent="0.25">
      <c r="C436" t="str">
        <f>IF(B436="","",IFERROR(INDEX(المبيعات!$C:$C,MATCH(B436,المبيعات!$A:$A,0)),""))</f>
        <v/>
      </c>
      <c r="F436" t="str">
        <f>IF(A436="","",SUMIFS(التحصيلات!$E:$E, التحصيلات!$J:$J, A436))</f>
        <v/>
      </c>
      <c r="G436" t="str">
        <f t="shared" si="12"/>
        <v/>
      </c>
      <c r="H436" t="str">
        <f t="shared" ca="1" si="13"/>
        <v/>
      </c>
    </row>
    <row r="437" spans="3:8" x14ac:dyDescent="0.25">
      <c r="C437" t="str">
        <f>IF(B437="","",IFERROR(INDEX(المبيعات!$C:$C,MATCH(B437,المبيعات!$A:$A,0)),""))</f>
        <v/>
      </c>
      <c r="F437" t="str">
        <f>IF(A437="","",SUMIFS(التحصيلات!$E:$E, التحصيلات!$J:$J, A437))</f>
        <v/>
      </c>
      <c r="G437" t="str">
        <f t="shared" si="12"/>
        <v/>
      </c>
      <c r="H437" t="str">
        <f t="shared" ca="1" si="13"/>
        <v/>
      </c>
    </row>
    <row r="438" spans="3:8" x14ac:dyDescent="0.25">
      <c r="C438" t="str">
        <f>IF(B438="","",IFERROR(INDEX(المبيعات!$C:$C,MATCH(B438,المبيعات!$A:$A,0)),""))</f>
        <v/>
      </c>
      <c r="F438" t="str">
        <f>IF(A438="","",SUMIFS(التحصيلات!$E:$E, التحصيلات!$J:$J, A438))</f>
        <v/>
      </c>
      <c r="G438" t="str">
        <f t="shared" si="12"/>
        <v/>
      </c>
      <c r="H438" t="str">
        <f t="shared" ca="1" si="13"/>
        <v/>
      </c>
    </row>
    <row r="439" spans="3:8" x14ac:dyDescent="0.25">
      <c r="C439" t="str">
        <f>IF(B439="","",IFERROR(INDEX(المبيعات!$C:$C,MATCH(B439,المبيعات!$A:$A,0)),""))</f>
        <v/>
      </c>
      <c r="F439" t="str">
        <f>IF(A439="","",SUMIFS(التحصيلات!$E:$E, التحصيلات!$J:$J, A439))</f>
        <v/>
      </c>
      <c r="G439" t="str">
        <f t="shared" si="12"/>
        <v/>
      </c>
      <c r="H439" t="str">
        <f t="shared" ca="1" si="13"/>
        <v/>
      </c>
    </row>
    <row r="440" spans="3:8" x14ac:dyDescent="0.25">
      <c r="C440" t="str">
        <f>IF(B440="","",IFERROR(INDEX(المبيعات!$C:$C,MATCH(B440,المبيعات!$A:$A,0)),""))</f>
        <v/>
      </c>
      <c r="F440" t="str">
        <f>IF(A440="","",SUMIFS(التحصيلات!$E:$E, التحصيلات!$J:$J, A440))</f>
        <v/>
      </c>
      <c r="G440" t="str">
        <f t="shared" si="12"/>
        <v/>
      </c>
      <c r="H440" t="str">
        <f t="shared" ca="1" si="13"/>
        <v/>
      </c>
    </row>
    <row r="441" spans="3:8" x14ac:dyDescent="0.25">
      <c r="C441" t="str">
        <f>IF(B441="","",IFERROR(INDEX(المبيعات!$C:$C,MATCH(B441,المبيعات!$A:$A,0)),""))</f>
        <v/>
      </c>
      <c r="F441" t="str">
        <f>IF(A441="","",SUMIFS(التحصيلات!$E:$E, التحصيلات!$J:$J, A441))</f>
        <v/>
      </c>
      <c r="G441" t="str">
        <f t="shared" si="12"/>
        <v/>
      </c>
      <c r="H441" t="str">
        <f t="shared" ca="1" si="13"/>
        <v/>
      </c>
    </row>
    <row r="442" spans="3:8" x14ac:dyDescent="0.25">
      <c r="C442" t="str">
        <f>IF(B442="","",IFERROR(INDEX(المبيعات!$C:$C,MATCH(B442,المبيعات!$A:$A,0)),""))</f>
        <v/>
      </c>
      <c r="F442" t="str">
        <f>IF(A442="","",SUMIFS(التحصيلات!$E:$E, التحصيلات!$J:$J, A442))</f>
        <v/>
      </c>
      <c r="G442" t="str">
        <f t="shared" si="12"/>
        <v/>
      </c>
      <c r="H442" t="str">
        <f t="shared" ca="1" si="13"/>
        <v/>
      </c>
    </row>
    <row r="443" spans="3:8" x14ac:dyDescent="0.25">
      <c r="C443" t="str">
        <f>IF(B443="","",IFERROR(INDEX(المبيعات!$C:$C,MATCH(B443,المبيعات!$A:$A,0)),""))</f>
        <v/>
      </c>
      <c r="F443" t="str">
        <f>IF(A443="","",SUMIFS(التحصيلات!$E:$E, التحصيلات!$J:$J, A443))</f>
        <v/>
      </c>
      <c r="G443" t="str">
        <f t="shared" si="12"/>
        <v/>
      </c>
      <c r="H443" t="str">
        <f t="shared" ca="1" si="13"/>
        <v/>
      </c>
    </row>
    <row r="444" spans="3:8" x14ac:dyDescent="0.25">
      <c r="C444" t="str">
        <f>IF(B444="","",IFERROR(INDEX(المبيعات!$C:$C,MATCH(B444,المبيعات!$A:$A,0)),""))</f>
        <v/>
      </c>
      <c r="F444" t="str">
        <f>IF(A444="","",SUMIFS(التحصيلات!$E:$E, التحصيلات!$J:$J, A444))</f>
        <v/>
      </c>
      <c r="G444" t="str">
        <f t="shared" si="12"/>
        <v/>
      </c>
      <c r="H444" t="str">
        <f t="shared" ca="1" si="13"/>
        <v/>
      </c>
    </row>
    <row r="445" spans="3:8" x14ac:dyDescent="0.25">
      <c r="C445" t="str">
        <f>IF(B445="","",IFERROR(INDEX(المبيعات!$C:$C,MATCH(B445,المبيعات!$A:$A,0)),""))</f>
        <v/>
      </c>
      <c r="F445" t="str">
        <f>IF(A445="","",SUMIFS(التحصيلات!$E:$E, التحصيلات!$J:$J, A445))</f>
        <v/>
      </c>
      <c r="G445" t="str">
        <f t="shared" si="12"/>
        <v/>
      </c>
      <c r="H445" t="str">
        <f t="shared" ca="1" si="13"/>
        <v/>
      </c>
    </row>
    <row r="446" spans="3:8" x14ac:dyDescent="0.25">
      <c r="C446" t="str">
        <f>IF(B446="","",IFERROR(INDEX(المبيعات!$C:$C,MATCH(B446,المبيعات!$A:$A,0)),""))</f>
        <v/>
      </c>
      <c r="F446" t="str">
        <f>IF(A446="","",SUMIFS(التحصيلات!$E:$E, التحصيلات!$J:$J, A446))</f>
        <v/>
      </c>
      <c r="G446" t="str">
        <f t="shared" si="12"/>
        <v/>
      </c>
      <c r="H446" t="str">
        <f t="shared" ca="1" si="13"/>
        <v/>
      </c>
    </row>
    <row r="447" spans="3:8" x14ac:dyDescent="0.25">
      <c r="C447" t="str">
        <f>IF(B447="","",IFERROR(INDEX(المبيعات!$C:$C,MATCH(B447,المبيعات!$A:$A,0)),""))</f>
        <v/>
      </c>
      <c r="F447" t="str">
        <f>IF(A447="","",SUMIFS(التحصيلات!$E:$E, التحصيلات!$J:$J, A447))</f>
        <v/>
      </c>
      <c r="G447" t="str">
        <f t="shared" si="12"/>
        <v/>
      </c>
      <c r="H447" t="str">
        <f t="shared" ca="1" si="13"/>
        <v/>
      </c>
    </row>
    <row r="448" spans="3:8" x14ac:dyDescent="0.25">
      <c r="C448" t="str">
        <f>IF(B448="","",IFERROR(INDEX(المبيعات!$C:$C,MATCH(B448,المبيعات!$A:$A,0)),""))</f>
        <v/>
      </c>
      <c r="F448" t="str">
        <f>IF(A448="","",SUMIFS(التحصيلات!$E:$E, التحصيلات!$J:$J, A448))</f>
        <v/>
      </c>
      <c r="G448" t="str">
        <f t="shared" si="12"/>
        <v/>
      </c>
      <c r="H448" t="str">
        <f t="shared" ca="1" si="13"/>
        <v/>
      </c>
    </row>
    <row r="449" spans="3:8" x14ac:dyDescent="0.25">
      <c r="C449" t="str">
        <f>IF(B449="","",IFERROR(INDEX(المبيعات!$C:$C,MATCH(B449,المبيعات!$A:$A,0)),""))</f>
        <v/>
      </c>
      <c r="F449" t="str">
        <f>IF(A449="","",SUMIFS(التحصيلات!$E:$E, التحصيلات!$J:$J, A449))</f>
        <v/>
      </c>
      <c r="G449" t="str">
        <f t="shared" si="12"/>
        <v/>
      </c>
      <c r="H449" t="str">
        <f t="shared" ca="1" si="13"/>
        <v/>
      </c>
    </row>
    <row r="450" spans="3:8" x14ac:dyDescent="0.25">
      <c r="C450" t="str">
        <f>IF(B450="","",IFERROR(INDEX(المبيعات!$C:$C,MATCH(B450,المبيعات!$A:$A,0)),""))</f>
        <v/>
      </c>
      <c r="F450" t="str">
        <f>IF(A450="","",SUMIFS(التحصيلات!$E:$E, التحصيلات!$J:$J, A450))</f>
        <v/>
      </c>
      <c r="G450" t="str">
        <f t="shared" si="12"/>
        <v/>
      </c>
      <c r="H450" t="str">
        <f t="shared" ca="1" si="13"/>
        <v/>
      </c>
    </row>
    <row r="451" spans="3:8" x14ac:dyDescent="0.25">
      <c r="C451" t="str">
        <f>IF(B451="","",IFERROR(INDEX(المبيعات!$C:$C,MATCH(B451,المبيعات!$A:$A,0)),""))</f>
        <v/>
      </c>
      <c r="F451" t="str">
        <f>IF(A451="","",SUMIFS(التحصيلات!$E:$E, التحصيلات!$J:$J, A451))</f>
        <v/>
      </c>
      <c r="G451" t="str">
        <f t="shared" ref="G451:G499" si="14">IF(A451="","", E451 - F451)</f>
        <v/>
      </c>
      <c r="H451" t="str">
        <f t="shared" ref="H451:H499" ca="1" si="15">IF(A451="","",IF(ROUND(G451,2)&lt;=0,"مدفوع",IF(ROUND(F451,2)&gt;0,"مدفوع جزئياً",IF(AND(D451&lt;&gt;"",D451&lt;TODAY()),"متأخر","مستحق"))))</f>
        <v/>
      </c>
    </row>
    <row r="452" spans="3:8" x14ac:dyDescent="0.25">
      <c r="C452" t="str">
        <f>IF(B452="","",IFERROR(INDEX(المبيعات!$C:$C,MATCH(B452,المبيعات!$A:$A,0)),""))</f>
        <v/>
      </c>
      <c r="F452" t="str">
        <f>IF(A452="","",SUMIFS(التحصيلات!$E:$E, التحصيلات!$J:$J, A452))</f>
        <v/>
      </c>
      <c r="G452" t="str">
        <f t="shared" si="14"/>
        <v/>
      </c>
      <c r="H452" t="str">
        <f t="shared" ca="1" si="15"/>
        <v/>
      </c>
    </row>
    <row r="453" spans="3:8" x14ac:dyDescent="0.25">
      <c r="C453" t="str">
        <f>IF(B453="","",IFERROR(INDEX(المبيعات!$C:$C,MATCH(B453,المبيعات!$A:$A,0)),""))</f>
        <v/>
      </c>
      <c r="F453" t="str">
        <f>IF(A453="","",SUMIFS(التحصيلات!$E:$E, التحصيلات!$J:$J, A453))</f>
        <v/>
      </c>
      <c r="G453" t="str">
        <f t="shared" si="14"/>
        <v/>
      </c>
      <c r="H453" t="str">
        <f t="shared" ca="1" si="15"/>
        <v/>
      </c>
    </row>
    <row r="454" spans="3:8" x14ac:dyDescent="0.25">
      <c r="C454" t="str">
        <f>IF(B454="","",IFERROR(INDEX(المبيعات!$C:$C,MATCH(B454,المبيعات!$A:$A,0)),""))</f>
        <v/>
      </c>
      <c r="F454" t="str">
        <f>IF(A454="","",SUMIFS(التحصيلات!$E:$E, التحصيلات!$J:$J, A454))</f>
        <v/>
      </c>
      <c r="G454" t="str">
        <f t="shared" si="14"/>
        <v/>
      </c>
      <c r="H454" t="str">
        <f t="shared" ca="1" si="15"/>
        <v/>
      </c>
    </row>
    <row r="455" spans="3:8" x14ac:dyDescent="0.25">
      <c r="C455" t="str">
        <f>IF(B455="","",IFERROR(INDEX(المبيعات!$C:$C,MATCH(B455,المبيعات!$A:$A,0)),""))</f>
        <v/>
      </c>
      <c r="F455" t="str">
        <f>IF(A455="","",SUMIFS(التحصيلات!$E:$E, التحصيلات!$J:$J, A455))</f>
        <v/>
      </c>
      <c r="G455" t="str">
        <f t="shared" si="14"/>
        <v/>
      </c>
      <c r="H455" t="str">
        <f t="shared" ca="1" si="15"/>
        <v/>
      </c>
    </row>
    <row r="456" spans="3:8" x14ac:dyDescent="0.25">
      <c r="C456" t="str">
        <f>IF(B456="","",IFERROR(INDEX(المبيعات!$C:$C,MATCH(B456,المبيعات!$A:$A,0)),""))</f>
        <v/>
      </c>
      <c r="F456" t="str">
        <f>IF(A456="","",SUMIFS(التحصيلات!$E:$E, التحصيلات!$J:$J, A456))</f>
        <v/>
      </c>
      <c r="G456" t="str">
        <f t="shared" si="14"/>
        <v/>
      </c>
      <c r="H456" t="str">
        <f t="shared" ca="1" si="15"/>
        <v/>
      </c>
    </row>
    <row r="457" spans="3:8" x14ac:dyDescent="0.25">
      <c r="C457" t="str">
        <f>IF(B457="","",IFERROR(INDEX(المبيعات!$C:$C,MATCH(B457,المبيعات!$A:$A,0)),""))</f>
        <v/>
      </c>
      <c r="F457" t="str">
        <f>IF(A457="","",SUMIFS(التحصيلات!$E:$E, التحصيلات!$J:$J, A457))</f>
        <v/>
      </c>
      <c r="G457" t="str">
        <f t="shared" si="14"/>
        <v/>
      </c>
      <c r="H457" t="str">
        <f t="shared" ca="1" si="15"/>
        <v/>
      </c>
    </row>
    <row r="458" spans="3:8" x14ac:dyDescent="0.25">
      <c r="C458" t="str">
        <f>IF(B458="","",IFERROR(INDEX(المبيعات!$C:$C,MATCH(B458,المبيعات!$A:$A,0)),""))</f>
        <v/>
      </c>
      <c r="F458" t="str">
        <f>IF(A458="","",SUMIFS(التحصيلات!$E:$E, التحصيلات!$J:$J, A458))</f>
        <v/>
      </c>
      <c r="G458" t="str">
        <f t="shared" si="14"/>
        <v/>
      </c>
      <c r="H458" t="str">
        <f t="shared" ca="1" si="15"/>
        <v/>
      </c>
    </row>
    <row r="459" spans="3:8" x14ac:dyDescent="0.25">
      <c r="C459" t="str">
        <f>IF(B459="","",IFERROR(INDEX(المبيعات!$C:$C,MATCH(B459,المبيعات!$A:$A,0)),""))</f>
        <v/>
      </c>
      <c r="F459" t="str">
        <f>IF(A459="","",SUMIFS(التحصيلات!$E:$E, التحصيلات!$J:$J, A459))</f>
        <v/>
      </c>
      <c r="G459" t="str">
        <f t="shared" si="14"/>
        <v/>
      </c>
      <c r="H459" t="str">
        <f t="shared" ca="1" si="15"/>
        <v/>
      </c>
    </row>
    <row r="460" spans="3:8" x14ac:dyDescent="0.25">
      <c r="C460" t="str">
        <f>IF(B460="","",IFERROR(INDEX(المبيعات!$C:$C,MATCH(B460,المبيعات!$A:$A,0)),""))</f>
        <v/>
      </c>
      <c r="F460" t="str">
        <f>IF(A460="","",SUMIFS(التحصيلات!$E:$E, التحصيلات!$J:$J, A460))</f>
        <v/>
      </c>
      <c r="G460" t="str">
        <f t="shared" si="14"/>
        <v/>
      </c>
      <c r="H460" t="str">
        <f t="shared" ca="1" si="15"/>
        <v/>
      </c>
    </row>
    <row r="461" spans="3:8" x14ac:dyDescent="0.25">
      <c r="C461" t="str">
        <f>IF(B461="","",IFERROR(INDEX(المبيعات!$C:$C,MATCH(B461,المبيعات!$A:$A,0)),""))</f>
        <v/>
      </c>
      <c r="F461" t="str">
        <f>IF(A461="","",SUMIFS(التحصيلات!$E:$E, التحصيلات!$J:$J, A461))</f>
        <v/>
      </c>
      <c r="G461" t="str">
        <f t="shared" si="14"/>
        <v/>
      </c>
      <c r="H461" t="str">
        <f t="shared" ca="1" si="15"/>
        <v/>
      </c>
    </row>
    <row r="462" spans="3:8" x14ac:dyDescent="0.25">
      <c r="C462" t="str">
        <f>IF(B462="","",IFERROR(INDEX(المبيعات!$C:$C,MATCH(B462,المبيعات!$A:$A,0)),""))</f>
        <v/>
      </c>
      <c r="F462" t="str">
        <f>IF(A462="","",SUMIFS(التحصيلات!$E:$E, التحصيلات!$J:$J, A462))</f>
        <v/>
      </c>
      <c r="G462" t="str">
        <f t="shared" si="14"/>
        <v/>
      </c>
      <c r="H462" t="str">
        <f t="shared" ca="1" si="15"/>
        <v/>
      </c>
    </row>
    <row r="463" spans="3:8" x14ac:dyDescent="0.25">
      <c r="C463" t="str">
        <f>IF(B463="","",IFERROR(INDEX(المبيعات!$C:$C,MATCH(B463,المبيعات!$A:$A,0)),""))</f>
        <v/>
      </c>
      <c r="F463" t="str">
        <f>IF(A463="","",SUMIFS(التحصيلات!$E:$E, التحصيلات!$J:$J, A463))</f>
        <v/>
      </c>
      <c r="G463" t="str">
        <f t="shared" si="14"/>
        <v/>
      </c>
      <c r="H463" t="str">
        <f t="shared" ca="1" si="15"/>
        <v/>
      </c>
    </row>
    <row r="464" spans="3:8" x14ac:dyDescent="0.25">
      <c r="C464" t="str">
        <f>IF(B464="","",IFERROR(INDEX(المبيعات!$C:$C,MATCH(B464,المبيعات!$A:$A,0)),""))</f>
        <v/>
      </c>
      <c r="F464" t="str">
        <f>IF(A464="","",SUMIFS(التحصيلات!$E:$E, التحصيلات!$J:$J, A464))</f>
        <v/>
      </c>
      <c r="G464" t="str">
        <f t="shared" si="14"/>
        <v/>
      </c>
      <c r="H464" t="str">
        <f t="shared" ca="1" si="15"/>
        <v/>
      </c>
    </row>
    <row r="465" spans="3:8" x14ac:dyDescent="0.25">
      <c r="C465" t="str">
        <f>IF(B465="","",IFERROR(INDEX(المبيعات!$C:$C,MATCH(B465,المبيعات!$A:$A,0)),""))</f>
        <v/>
      </c>
      <c r="F465" t="str">
        <f>IF(A465="","",SUMIFS(التحصيلات!$E:$E, التحصيلات!$J:$J, A465))</f>
        <v/>
      </c>
      <c r="G465" t="str">
        <f t="shared" si="14"/>
        <v/>
      </c>
      <c r="H465" t="str">
        <f t="shared" ca="1" si="15"/>
        <v/>
      </c>
    </row>
    <row r="466" spans="3:8" x14ac:dyDescent="0.25">
      <c r="C466" t="str">
        <f>IF(B466="","",IFERROR(INDEX(المبيعات!$C:$C,MATCH(B466,المبيعات!$A:$A,0)),""))</f>
        <v/>
      </c>
      <c r="F466" t="str">
        <f>IF(A466="","",SUMIFS(التحصيلات!$E:$E, التحصيلات!$J:$J, A466))</f>
        <v/>
      </c>
      <c r="G466" t="str">
        <f t="shared" si="14"/>
        <v/>
      </c>
      <c r="H466" t="str">
        <f t="shared" ca="1" si="15"/>
        <v/>
      </c>
    </row>
    <row r="467" spans="3:8" x14ac:dyDescent="0.25">
      <c r="C467" t="str">
        <f>IF(B467="","",IFERROR(INDEX(المبيعات!$C:$C,MATCH(B467,المبيعات!$A:$A,0)),""))</f>
        <v/>
      </c>
      <c r="F467" t="str">
        <f>IF(A467="","",SUMIFS(التحصيلات!$E:$E, التحصيلات!$J:$J, A467))</f>
        <v/>
      </c>
      <c r="G467" t="str">
        <f t="shared" si="14"/>
        <v/>
      </c>
      <c r="H467" t="str">
        <f t="shared" ca="1" si="15"/>
        <v/>
      </c>
    </row>
    <row r="468" spans="3:8" x14ac:dyDescent="0.25">
      <c r="C468" t="str">
        <f>IF(B468="","",IFERROR(INDEX(المبيعات!$C:$C,MATCH(B468,المبيعات!$A:$A,0)),""))</f>
        <v/>
      </c>
      <c r="F468" t="str">
        <f>IF(A468="","",SUMIFS(التحصيلات!$E:$E, التحصيلات!$J:$J, A468))</f>
        <v/>
      </c>
      <c r="G468" t="str">
        <f t="shared" si="14"/>
        <v/>
      </c>
      <c r="H468" t="str">
        <f t="shared" ca="1" si="15"/>
        <v/>
      </c>
    </row>
    <row r="469" spans="3:8" x14ac:dyDescent="0.25">
      <c r="C469" t="str">
        <f>IF(B469="","",IFERROR(INDEX(المبيعات!$C:$C,MATCH(B469,المبيعات!$A:$A,0)),""))</f>
        <v/>
      </c>
      <c r="F469" t="str">
        <f>IF(A469="","",SUMIFS(التحصيلات!$E:$E, التحصيلات!$J:$J, A469))</f>
        <v/>
      </c>
      <c r="G469" t="str">
        <f t="shared" si="14"/>
        <v/>
      </c>
      <c r="H469" t="str">
        <f t="shared" ca="1" si="15"/>
        <v/>
      </c>
    </row>
    <row r="470" spans="3:8" x14ac:dyDescent="0.25">
      <c r="C470" t="str">
        <f>IF(B470="","",IFERROR(INDEX(المبيعات!$C:$C,MATCH(B470,المبيعات!$A:$A,0)),""))</f>
        <v/>
      </c>
      <c r="F470" t="str">
        <f>IF(A470="","",SUMIFS(التحصيلات!$E:$E, التحصيلات!$J:$J, A470))</f>
        <v/>
      </c>
      <c r="G470" t="str">
        <f t="shared" si="14"/>
        <v/>
      </c>
      <c r="H470" t="str">
        <f t="shared" ca="1" si="15"/>
        <v/>
      </c>
    </row>
    <row r="471" spans="3:8" x14ac:dyDescent="0.25">
      <c r="C471" t="str">
        <f>IF(B471="","",IFERROR(INDEX(المبيعات!$C:$C,MATCH(B471,المبيعات!$A:$A,0)),""))</f>
        <v/>
      </c>
      <c r="F471" t="str">
        <f>IF(A471="","",SUMIFS(التحصيلات!$E:$E, التحصيلات!$J:$J, A471))</f>
        <v/>
      </c>
      <c r="G471" t="str">
        <f t="shared" si="14"/>
        <v/>
      </c>
      <c r="H471" t="str">
        <f t="shared" ca="1" si="15"/>
        <v/>
      </c>
    </row>
    <row r="472" spans="3:8" x14ac:dyDescent="0.25">
      <c r="C472" t="str">
        <f>IF(B472="","",IFERROR(INDEX(المبيعات!$C:$C,MATCH(B472,المبيعات!$A:$A,0)),""))</f>
        <v/>
      </c>
      <c r="F472" t="str">
        <f>IF(A472="","",SUMIFS(التحصيلات!$E:$E, التحصيلات!$J:$J, A472))</f>
        <v/>
      </c>
      <c r="G472" t="str">
        <f t="shared" si="14"/>
        <v/>
      </c>
      <c r="H472" t="str">
        <f t="shared" ca="1" si="15"/>
        <v/>
      </c>
    </row>
    <row r="473" spans="3:8" x14ac:dyDescent="0.25">
      <c r="C473" t="str">
        <f>IF(B473="","",IFERROR(INDEX(المبيعات!$C:$C,MATCH(B473,المبيعات!$A:$A,0)),""))</f>
        <v/>
      </c>
      <c r="F473" t="str">
        <f>IF(A473="","",SUMIFS(التحصيلات!$E:$E, التحصيلات!$J:$J, A473))</f>
        <v/>
      </c>
      <c r="G473" t="str">
        <f t="shared" si="14"/>
        <v/>
      </c>
      <c r="H473" t="str">
        <f t="shared" ca="1" si="15"/>
        <v/>
      </c>
    </row>
    <row r="474" spans="3:8" x14ac:dyDescent="0.25">
      <c r="C474" t="str">
        <f>IF(B474="","",IFERROR(INDEX(المبيعات!$C:$C,MATCH(B474,المبيعات!$A:$A,0)),""))</f>
        <v/>
      </c>
      <c r="F474" t="str">
        <f>IF(A474="","",SUMIFS(التحصيلات!$E:$E, التحصيلات!$J:$J, A474))</f>
        <v/>
      </c>
      <c r="G474" t="str">
        <f t="shared" si="14"/>
        <v/>
      </c>
      <c r="H474" t="str">
        <f t="shared" ca="1" si="15"/>
        <v/>
      </c>
    </row>
    <row r="475" spans="3:8" x14ac:dyDescent="0.25">
      <c r="C475" t="str">
        <f>IF(B475="","",IFERROR(INDEX(المبيعات!$C:$C,MATCH(B475,المبيعات!$A:$A,0)),""))</f>
        <v/>
      </c>
      <c r="F475" t="str">
        <f>IF(A475="","",SUMIFS(التحصيلات!$E:$E, التحصيلات!$J:$J, A475))</f>
        <v/>
      </c>
      <c r="G475" t="str">
        <f t="shared" si="14"/>
        <v/>
      </c>
      <c r="H475" t="str">
        <f t="shared" ca="1" si="15"/>
        <v/>
      </c>
    </row>
    <row r="476" spans="3:8" x14ac:dyDescent="0.25">
      <c r="C476" t="str">
        <f>IF(B476="","",IFERROR(INDEX(المبيعات!$C:$C,MATCH(B476,المبيعات!$A:$A,0)),""))</f>
        <v/>
      </c>
      <c r="F476" t="str">
        <f>IF(A476="","",SUMIFS(التحصيلات!$E:$E, التحصيلات!$J:$J, A476))</f>
        <v/>
      </c>
      <c r="G476" t="str">
        <f t="shared" si="14"/>
        <v/>
      </c>
      <c r="H476" t="str">
        <f t="shared" ca="1" si="15"/>
        <v/>
      </c>
    </row>
    <row r="477" spans="3:8" x14ac:dyDescent="0.25">
      <c r="C477" t="str">
        <f>IF(B477="","",IFERROR(INDEX(المبيعات!$C:$C,MATCH(B477,المبيعات!$A:$A,0)),""))</f>
        <v/>
      </c>
      <c r="F477" t="str">
        <f>IF(A477="","",SUMIFS(التحصيلات!$E:$E, التحصيلات!$J:$J, A477))</f>
        <v/>
      </c>
      <c r="G477" t="str">
        <f t="shared" si="14"/>
        <v/>
      </c>
      <c r="H477" t="str">
        <f t="shared" ca="1" si="15"/>
        <v/>
      </c>
    </row>
    <row r="478" spans="3:8" x14ac:dyDescent="0.25">
      <c r="C478" t="str">
        <f>IF(B478="","",IFERROR(INDEX(المبيعات!$C:$C,MATCH(B478,المبيعات!$A:$A,0)),""))</f>
        <v/>
      </c>
      <c r="F478" t="str">
        <f>IF(A478="","",SUMIFS(التحصيلات!$E:$E, التحصيلات!$J:$J, A478))</f>
        <v/>
      </c>
      <c r="G478" t="str">
        <f t="shared" si="14"/>
        <v/>
      </c>
      <c r="H478" t="str">
        <f t="shared" ca="1" si="15"/>
        <v/>
      </c>
    </row>
    <row r="479" spans="3:8" x14ac:dyDescent="0.25">
      <c r="C479" t="str">
        <f>IF(B479="","",IFERROR(INDEX(المبيعات!$C:$C,MATCH(B479,المبيعات!$A:$A,0)),""))</f>
        <v/>
      </c>
      <c r="F479" t="str">
        <f>IF(A479="","",SUMIFS(التحصيلات!$E:$E, التحصيلات!$J:$J, A479))</f>
        <v/>
      </c>
      <c r="G479" t="str">
        <f t="shared" si="14"/>
        <v/>
      </c>
      <c r="H479" t="str">
        <f t="shared" ca="1" si="15"/>
        <v/>
      </c>
    </row>
    <row r="480" spans="3:8" x14ac:dyDescent="0.25">
      <c r="C480" t="str">
        <f>IF(B480="","",IFERROR(INDEX(المبيعات!$C:$C,MATCH(B480,المبيعات!$A:$A,0)),""))</f>
        <v/>
      </c>
      <c r="F480" t="str">
        <f>IF(A480="","",SUMIFS(التحصيلات!$E:$E, التحصيلات!$J:$J, A480))</f>
        <v/>
      </c>
      <c r="G480" t="str">
        <f t="shared" si="14"/>
        <v/>
      </c>
      <c r="H480" t="str">
        <f t="shared" ca="1" si="15"/>
        <v/>
      </c>
    </row>
    <row r="481" spans="3:8" x14ac:dyDescent="0.25">
      <c r="C481" t="str">
        <f>IF(B481="","",IFERROR(INDEX(المبيعات!$C:$C,MATCH(B481,المبيعات!$A:$A,0)),""))</f>
        <v/>
      </c>
      <c r="F481" t="str">
        <f>IF(A481="","",SUMIFS(التحصيلات!$E:$E, التحصيلات!$J:$J, A481))</f>
        <v/>
      </c>
      <c r="G481" t="str">
        <f t="shared" si="14"/>
        <v/>
      </c>
      <c r="H481" t="str">
        <f t="shared" ca="1" si="15"/>
        <v/>
      </c>
    </row>
    <row r="482" spans="3:8" x14ac:dyDescent="0.25">
      <c r="C482" t="str">
        <f>IF(B482="","",IFERROR(INDEX(المبيعات!$C:$C,MATCH(B482,المبيعات!$A:$A,0)),""))</f>
        <v/>
      </c>
      <c r="F482" t="str">
        <f>IF(A482="","",SUMIFS(التحصيلات!$E:$E, التحصيلات!$J:$J, A482))</f>
        <v/>
      </c>
      <c r="G482" t="str">
        <f t="shared" si="14"/>
        <v/>
      </c>
      <c r="H482" t="str">
        <f t="shared" ca="1" si="15"/>
        <v/>
      </c>
    </row>
    <row r="483" spans="3:8" x14ac:dyDescent="0.25">
      <c r="C483" t="str">
        <f>IF(B483="","",IFERROR(INDEX(المبيعات!$C:$C,MATCH(B483,المبيعات!$A:$A,0)),""))</f>
        <v/>
      </c>
      <c r="F483" t="str">
        <f>IF(A483="","",SUMIFS(التحصيلات!$E:$E, التحصيلات!$J:$J, A483))</f>
        <v/>
      </c>
      <c r="G483" t="str">
        <f t="shared" si="14"/>
        <v/>
      </c>
      <c r="H483" t="str">
        <f t="shared" ca="1" si="15"/>
        <v/>
      </c>
    </row>
    <row r="484" spans="3:8" x14ac:dyDescent="0.25">
      <c r="C484" t="str">
        <f>IF(B484="","",IFERROR(INDEX(المبيعات!$C:$C,MATCH(B484,المبيعات!$A:$A,0)),""))</f>
        <v/>
      </c>
      <c r="F484" t="str">
        <f>IF(A484="","",SUMIFS(التحصيلات!$E:$E, التحصيلات!$J:$J, A484))</f>
        <v/>
      </c>
      <c r="G484" t="str">
        <f t="shared" si="14"/>
        <v/>
      </c>
      <c r="H484" t="str">
        <f t="shared" ca="1" si="15"/>
        <v/>
      </c>
    </row>
    <row r="485" spans="3:8" x14ac:dyDescent="0.25">
      <c r="C485" t="str">
        <f>IF(B485="","",IFERROR(INDEX(المبيعات!$C:$C,MATCH(B485,المبيعات!$A:$A,0)),""))</f>
        <v/>
      </c>
      <c r="F485" t="str">
        <f>IF(A485="","",SUMIFS(التحصيلات!$E:$E, التحصيلات!$J:$J, A485))</f>
        <v/>
      </c>
      <c r="G485" t="str">
        <f t="shared" si="14"/>
        <v/>
      </c>
      <c r="H485" t="str">
        <f t="shared" ca="1" si="15"/>
        <v/>
      </c>
    </row>
    <row r="486" spans="3:8" x14ac:dyDescent="0.25">
      <c r="C486" t="str">
        <f>IF(B486="","",IFERROR(INDEX(المبيعات!$C:$C,MATCH(B486,المبيعات!$A:$A,0)),""))</f>
        <v/>
      </c>
      <c r="F486" t="str">
        <f>IF(A486="","",SUMIFS(التحصيلات!$E:$E, التحصيلات!$J:$J, A486))</f>
        <v/>
      </c>
      <c r="G486" t="str">
        <f t="shared" si="14"/>
        <v/>
      </c>
      <c r="H486" t="str">
        <f t="shared" ca="1" si="15"/>
        <v/>
      </c>
    </row>
    <row r="487" spans="3:8" x14ac:dyDescent="0.25">
      <c r="C487" t="str">
        <f>IF(B487="","",IFERROR(INDEX(المبيعات!$C:$C,MATCH(B487,المبيعات!$A:$A,0)),""))</f>
        <v/>
      </c>
      <c r="F487" t="str">
        <f>IF(A487="","",SUMIFS(التحصيلات!$E:$E, التحصيلات!$J:$J, A487))</f>
        <v/>
      </c>
      <c r="G487" t="str">
        <f t="shared" si="14"/>
        <v/>
      </c>
      <c r="H487" t="str">
        <f t="shared" ca="1" si="15"/>
        <v/>
      </c>
    </row>
    <row r="488" spans="3:8" x14ac:dyDescent="0.25">
      <c r="C488" t="str">
        <f>IF(B488="","",IFERROR(INDEX(المبيعات!$C:$C,MATCH(B488,المبيعات!$A:$A,0)),""))</f>
        <v/>
      </c>
      <c r="F488" t="str">
        <f>IF(A488="","",SUMIFS(التحصيلات!$E:$E, التحصيلات!$J:$J, A488))</f>
        <v/>
      </c>
      <c r="G488" t="str">
        <f t="shared" si="14"/>
        <v/>
      </c>
      <c r="H488" t="str">
        <f t="shared" ca="1" si="15"/>
        <v/>
      </c>
    </row>
    <row r="489" spans="3:8" x14ac:dyDescent="0.25">
      <c r="C489" t="str">
        <f>IF(B489="","",IFERROR(INDEX(المبيعات!$C:$C,MATCH(B489,المبيعات!$A:$A,0)),""))</f>
        <v/>
      </c>
      <c r="F489" t="str">
        <f>IF(A489="","",SUMIFS(التحصيلات!$E:$E, التحصيلات!$J:$J, A489))</f>
        <v/>
      </c>
      <c r="G489" t="str">
        <f t="shared" si="14"/>
        <v/>
      </c>
      <c r="H489" t="str">
        <f t="shared" ca="1" si="15"/>
        <v/>
      </c>
    </row>
    <row r="490" spans="3:8" x14ac:dyDescent="0.25">
      <c r="C490" t="str">
        <f>IF(B490="","",IFERROR(INDEX(المبيعات!$C:$C,MATCH(B490,المبيعات!$A:$A,0)),""))</f>
        <v/>
      </c>
      <c r="F490" t="str">
        <f>IF(A490="","",SUMIFS(التحصيلات!$E:$E, التحصيلات!$J:$J, A490))</f>
        <v/>
      </c>
      <c r="G490" t="str">
        <f t="shared" si="14"/>
        <v/>
      </c>
      <c r="H490" t="str">
        <f t="shared" ca="1" si="15"/>
        <v/>
      </c>
    </row>
    <row r="491" spans="3:8" x14ac:dyDescent="0.25">
      <c r="C491" t="str">
        <f>IF(B491="","",IFERROR(INDEX(المبيعات!$C:$C,MATCH(B491,المبيعات!$A:$A,0)),""))</f>
        <v/>
      </c>
      <c r="F491" t="str">
        <f>IF(A491="","",SUMIFS(التحصيلات!$E:$E, التحصيلات!$J:$J, A491))</f>
        <v/>
      </c>
      <c r="G491" t="str">
        <f t="shared" si="14"/>
        <v/>
      </c>
      <c r="H491" t="str">
        <f t="shared" ca="1" si="15"/>
        <v/>
      </c>
    </row>
    <row r="492" spans="3:8" x14ac:dyDescent="0.25">
      <c r="C492" t="str">
        <f>IF(B492="","",IFERROR(INDEX(المبيعات!$C:$C,MATCH(B492,المبيعات!$A:$A,0)),""))</f>
        <v/>
      </c>
      <c r="F492" t="str">
        <f>IF(A492="","",SUMIFS(التحصيلات!$E:$E, التحصيلات!$J:$J, A492))</f>
        <v/>
      </c>
      <c r="G492" t="str">
        <f t="shared" si="14"/>
        <v/>
      </c>
      <c r="H492" t="str">
        <f t="shared" ca="1" si="15"/>
        <v/>
      </c>
    </row>
    <row r="493" spans="3:8" x14ac:dyDescent="0.25">
      <c r="C493" t="str">
        <f>IF(B493="","",IFERROR(INDEX(المبيعات!$C:$C,MATCH(B493,المبيعات!$A:$A,0)),""))</f>
        <v/>
      </c>
      <c r="F493" t="str">
        <f>IF(A493="","",SUMIFS(التحصيلات!$E:$E, التحصيلات!$J:$J, A493))</f>
        <v/>
      </c>
      <c r="G493" t="str">
        <f t="shared" si="14"/>
        <v/>
      </c>
      <c r="H493" t="str">
        <f t="shared" ca="1" si="15"/>
        <v/>
      </c>
    </row>
    <row r="494" spans="3:8" x14ac:dyDescent="0.25">
      <c r="C494" t="str">
        <f>IF(B494="","",IFERROR(INDEX(المبيعات!$C:$C,MATCH(B494,المبيعات!$A:$A,0)),""))</f>
        <v/>
      </c>
      <c r="F494" t="str">
        <f>IF(A494="","",SUMIFS(التحصيلات!$E:$E, التحصيلات!$J:$J, A494))</f>
        <v/>
      </c>
      <c r="G494" t="str">
        <f t="shared" si="14"/>
        <v/>
      </c>
      <c r="H494" t="str">
        <f t="shared" ca="1" si="15"/>
        <v/>
      </c>
    </row>
    <row r="495" spans="3:8" x14ac:dyDescent="0.25">
      <c r="C495" t="str">
        <f>IF(B495="","",IFERROR(INDEX(المبيعات!$C:$C,MATCH(B495,المبيعات!$A:$A,0)),""))</f>
        <v/>
      </c>
      <c r="F495" t="str">
        <f>IF(A495="","",SUMIFS(التحصيلات!$E:$E, التحصيلات!$J:$J, A495))</f>
        <v/>
      </c>
      <c r="G495" t="str">
        <f t="shared" si="14"/>
        <v/>
      </c>
      <c r="H495" t="str">
        <f t="shared" ca="1" si="15"/>
        <v/>
      </c>
    </row>
    <row r="496" spans="3:8" x14ac:dyDescent="0.25">
      <c r="C496" t="str">
        <f>IF(B496="","",IFERROR(INDEX(المبيعات!$C:$C,MATCH(B496,المبيعات!$A:$A,0)),""))</f>
        <v/>
      </c>
      <c r="F496" t="str">
        <f>IF(A496="","",SUMIFS(التحصيلات!$E:$E, التحصيلات!$J:$J, A496))</f>
        <v/>
      </c>
      <c r="G496" t="str">
        <f t="shared" si="14"/>
        <v/>
      </c>
      <c r="H496" t="str">
        <f t="shared" ca="1" si="15"/>
        <v/>
      </c>
    </row>
    <row r="497" spans="3:8" x14ac:dyDescent="0.25">
      <c r="C497" t="str">
        <f>IF(B497="","",IFERROR(INDEX(المبيعات!$C:$C,MATCH(B497,المبيعات!$A:$A,0)),""))</f>
        <v/>
      </c>
      <c r="F497" t="str">
        <f>IF(A497="","",SUMIFS(التحصيلات!$E:$E, التحصيلات!$J:$J, A497))</f>
        <v/>
      </c>
      <c r="G497" t="str">
        <f t="shared" si="14"/>
        <v/>
      </c>
      <c r="H497" t="str">
        <f t="shared" ca="1" si="15"/>
        <v/>
      </c>
    </row>
    <row r="498" spans="3:8" x14ac:dyDescent="0.25">
      <c r="C498" t="str">
        <f>IF(B498="","",IFERROR(INDEX(المبيعات!$C:$C,MATCH(B498,المبيعات!$A:$A,0)),""))</f>
        <v/>
      </c>
      <c r="F498" t="str">
        <f>IF(A498="","",SUMIFS(التحصيلات!$E:$E, التحصيلات!$J:$J, A498))</f>
        <v/>
      </c>
      <c r="G498" t="str">
        <f t="shared" si="14"/>
        <v/>
      </c>
      <c r="H498" t="str">
        <f t="shared" ca="1" si="15"/>
        <v/>
      </c>
    </row>
    <row r="499" spans="3:8" x14ac:dyDescent="0.25">
      <c r="C499" t="str">
        <f>IF(B499="","",IFERROR(INDEX(المبيعات!$C:$C,MATCH(B499,المبيعات!$A:$A,0)),""))</f>
        <v/>
      </c>
      <c r="F499" t="str">
        <f>IF(A499="","",SUMIFS(التحصيلات!$E:$E, التحصيلات!$J:$J, A499))</f>
        <v/>
      </c>
      <c r="G499" t="str">
        <f t="shared" si="14"/>
        <v/>
      </c>
      <c r="H499" t="str">
        <f t="shared" ca="1" si="15"/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Views>
    <sheetView rightToLeft="1" workbookViewId="0"/>
  </sheetViews>
  <sheetFormatPr defaultRowHeight="15" x14ac:dyDescent="0.25"/>
  <cols>
    <col min="1" max="6" width="20" customWidth="1"/>
  </cols>
  <sheetData>
    <row r="2" spans="1:6" x14ac:dyDescent="0.25">
      <c r="A2" s="7" t="s">
        <v>161</v>
      </c>
      <c r="B2" s="7" t="s">
        <v>143</v>
      </c>
      <c r="C2" s="7" t="s">
        <v>146</v>
      </c>
      <c r="D2" s="7" t="s">
        <v>154</v>
      </c>
      <c r="E2" s="7" t="s">
        <v>165</v>
      </c>
      <c r="F2" s="7" t="s">
        <v>168</v>
      </c>
    </row>
    <row r="3" spans="1:6" x14ac:dyDescent="0.25">
      <c r="A3" t="str">
        <f>المبيعات!C3</f>
        <v>شقة الاكاديمية</v>
      </c>
      <c r="B3" t="str">
        <f>المبيعات!D3</f>
        <v>بالكامل</v>
      </c>
      <c r="C3">
        <f>المبيعات!G3</f>
        <v>4000000</v>
      </c>
      <c r="D3">
        <f>المبيعات!O3</f>
        <v>4000000</v>
      </c>
      <c r="E3">
        <f>المبيعات!P3</f>
        <v>0</v>
      </c>
      <c r="F3">
        <f>المبيعات!Q3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99"/>
  <sheetViews>
    <sheetView showGridLines="0" rightToLeft="1" workbookViewId="0">
      <pane ySplit="2" topLeftCell="A3" activePane="bottomLeft" state="frozen"/>
      <selection pane="bottomLeft" activeCell="D8" sqref="D8"/>
    </sheetView>
  </sheetViews>
  <sheetFormatPr defaultRowHeight="15" x14ac:dyDescent="0.25"/>
  <cols>
    <col min="1" max="8" width="15.7109375" customWidth="1"/>
    <col min="9" max="11" width="18" customWidth="1"/>
  </cols>
  <sheetData>
    <row r="2" spans="1:12" x14ac:dyDescent="0.25">
      <c r="A2" t="s">
        <v>169</v>
      </c>
      <c r="B2" t="s">
        <v>170</v>
      </c>
      <c r="C2" t="s">
        <v>161</v>
      </c>
      <c r="D2" t="s">
        <v>171</v>
      </c>
      <c r="E2" t="s">
        <v>172</v>
      </c>
      <c r="F2" t="s">
        <v>173</v>
      </c>
      <c r="G2" t="s">
        <v>174</v>
      </c>
      <c r="H2" t="s">
        <v>32</v>
      </c>
      <c r="I2" s="7" t="s">
        <v>142</v>
      </c>
      <c r="J2" s="7" t="s">
        <v>175</v>
      </c>
      <c r="K2" s="7" t="s">
        <v>176</v>
      </c>
      <c r="L2" t="s">
        <v>177</v>
      </c>
    </row>
    <row r="3" spans="1:12" x14ac:dyDescent="0.25">
      <c r="A3" t="s">
        <v>178</v>
      </c>
      <c r="B3" s="6">
        <v>45992</v>
      </c>
      <c r="C3" t="s">
        <v>124</v>
      </c>
      <c r="D3">
        <v>1</v>
      </c>
      <c r="E3">
        <v>2000000</v>
      </c>
      <c r="F3" t="s">
        <v>7</v>
      </c>
      <c r="L3" t="str">
        <f>IF(AND(J3&lt;&gt;"", E3&lt;&gt;""), IF(E3 &gt; IFERROR(INDEX(جدول [2]الأقساط!$E:$E,MATCH(J3,جدول [2]الأقساط!$A:$A,0)), E3), "⚠️ تحصيل أكبر من قيمة القسط", "سليم"), "سليم")</f>
        <v>سليم</v>
      </c>
    </row>
    <row r="4" spans="1:12" x14ac:dyDescent="0.25">
      <c r="A4" t="s">
        <v>179</v>
      </c>
      <c r="B4" s="6">
        <v>46059</v>
      </c>
      <c r="C4" t="s">
        <v>124</v>
      </c>
      <c r="D4">
        <v>2</v>
      </c>
      <c r="E4">
        <v>2500000</v>
      </c>
      <c r="F4" t="s">
        <v>11</v>
      </c>
      <c r="L4" t="str">
        <f>IF(AND(J4&lt;&gt;"", E4&lt;&gt;""), IF(E4 &gt; IFERROR(INDEX(جدول [2]الأقساط!$E:$E,MATCH(J4,جدول [2]الأقساط!$A:$A,0)), E4), "⚠️ تحصيل أكبر من قيمة القسط", "سليم"), "سليم")</f>
        <v>سليم</v>
      </c>
    </row>
    <row r="5" spans="1:12" x14ac:dyDescent="0.25">
      <c r="A5" t="s">
        <v>180</v>
      </c>
      <c r="B5" s="6">
        <v>46117</v>
      </c>
      <c r="C5" t="s">
        <v>124</v>
      </c>
      <c r="D5">
        <v>3</v>
      </c>
      <c r="E5">
        <v>1500000</v>
      </c>
      <c r="F5" t="s">
        <v>15</v>
      </c>
      <c r="L5" t="str">
        <f>IF(AND(J5&lt;&gt;"", E5&lt;&gt;""), IF(E5 &gt; IFERROR(INDEX(جدول [2]الأقساط!$E:$E,MATCH(J5,جدول [2]الأقساط!$A:$A,0)), E5), "⚠️ تحصيل أكبر من قيمة القسط", "سليم"), "سليم")</f>
        <v>سليم</v>
      </c>
    </row>
    <row r="6" spans="1:12" x14ac:dyDescent="0.25">
      <c r="A6" t="s">
        <v>181</v>
      </c>
      <c r="B6" s="6">
        <v>46233</v>
      </c>
      <c r="C6" t="s">
        <v>124</v>
      </c>
      <c r="D6">
        <v>4</v>
      </c>
      <c r="E6">
        <v>2569000</v>
      </c>
      <c r="F6" t="s">
        <v>15</v>
      </c>
      <c r="L6" t="str">
        <f>IF(AND(J6&lt;&gt;"", E6&lt;&gt;""), IF(E6 &gt; IFERROR(INDEX(جدول [2]الأقساط!$E:$E,MATCH(J6,جدول [2]الأقساط!$A:$A,0)), E6), "⚠️ تحصيل أكبر من قيمة القسط", "سليم"), "سليم")</f>
        <v>سليم</v>
      </c>
    </row>
    <row r="7" spans="1:12" x14ac:dyDescent="0.25">
      <c r="A7" t="s">
        <v>182</v>
      </c>
      <c r="B7" s="6"/>
      <c r="C7" t="s">
        <v>191</v>
      </c>
      <c r="D7">
        <v>1</v>
      </c>
      <c r="E7">
        <v>4000000</v>
      </c>
      <c r="F7" t="s">
        <v>19</v>
      </c>
      <c r="L7" t="str">
        <f>IF(AND(J7&lt;&gt;"", E7&lt;&gt;""), IF(E7 &gt; IFERROR(INDEX(جدول [2]الأقساط!$E:$E,MATCH(J7,جدول [2]الأقساط!$A:$A,0)), E7), "⚠️ تحصيل أكبر من قيمة القسط", "سليم"), "سليم")</f>
        <v>سليم</v>
      </c>
    </row>
    <row r="8" spans="1:12" x14ac:dyDescent="0.25">
      <c r="A8" t="s">
        <v>183</v>
      </c>
      <c r="B8" s="6"/>
      <c r="C8" t="str">
        <f>IF(I8="","",IFERROR(INDEX(المبيعات!$C:$C,MATCH(I8,المبيعات!$A:$A,0)),""))</f>
        <v/>
      </c>
      <c r="L8" t="str">
        <f>IF(AND(J8&lt;&gt;"", E8&lt;&gt;""), IF(E8 &gt; IFERROR(INDEX(جدول [2]الأقساط!$E:$E,MATCH(J8,جدول [2]الأقساط!$A:$A,0)), E8), "⚠️ تحصيل أكبر من قيمة القسط", "سليم"), "سليم")</f>
        <v>سليم</v>
      </c>
    </row>
    <row r="9" spans="1:12" x14ac:dyDescent="0.25">
      <c r="A9" t="s">
        <v>184</v>
      </c>
      <c r="B9" s="6"/>
      <c r="C9" t="str">
        <f>IF(I9="","",IFERROR(INDEX(المبيعات!$C:$C,MATCH(I9,المبيعات!$A:$A,0)),""))</f>
        <v/>
      </c>
      <c r="L9" t="str">
        <f>IF(AND(J9&lt;&gt;"", E9&lt;&gt;""), IF(E9 &gt; IFERROR(INDEX(جدول [2]الأقساط!$E:$E,MATCH(J9,جدول [2]الأقساط!$A:$A,0)), E9), "⚠️ تحصيل أكبر من قيمة القسط", "سليم"), "سليم")</f>
        <v>سليم</v>
      </c>
    </row>
    <row r="10" spans="1:12" x14ac:dyDescent="0.25">
      <c r="A10" t="s">
        <v>185</v>
      </c>
      <c r="B10" s="6"/>
      <c r="C10" t="str">
        <f>IF(I10="","",IFERROR(INDEX(المبيعات!$C:$C,MATCH(I10,المبيعات!$A:$A,0)),""))</f>
        <v/>
      </c>
      <c r="L10" t="str">
        <f>IF(AND(J10&lt;&gt;"", E10&lt;&gt;""), IF(E10 &gt; IFERROR(INDEX(جدول [2]الأقساط!$E:$E,MATCH(J10,جدول [2]الأقساط!$A:$A,0)), E10), "⚠️ تحصيل أكبر من قيمة القسط", "سليم"), "سليم")</f>
        <v>سليم</v>
      </c>
    </row>
    <row r="11" spans="1:12" x14ac:dyDescent="0.25">
      <c r="A11" t="s">
        <v>186</v>
      </c>
      <c r="B11" s="6"/>
      <c r="C11" t="str">
        <f>IF(I11="","",IFERROR(INDEX(المبيعات!$C:$C,MATCH(I11,المبيعات!$A:$A,0)),""))</f>
        <v/>
      </c>
      <c r="L11" t="str">
        <f>IF(AND(J11&lt;&gt;"", E11&lt;&gt;""), IF(E11 &gt; IFERROR(INDEX(جدول [2]الأقساط!$E:$E,MATCH(J11,جدول [2]الأقساط!$A:$A,0)), E11), "⚠️ تحصيل أكبر من قيمة القسط", "سليم"), "سليم")</f>
        <v>سليم</v>
      </c>
    </row>
    <row r="12" spans="1:12" x14ac:dyDescent="0.25">
      <c r="C12" t="str">
        <f>IF(I12="","",IFERROR(INDEX(المبيعات!$C:$C,MATCH(I12,المبيعات!$A:$A,0)),""))</f>
        <v/>
      </c>
      <c r="F12" t="s">
        <v>159</v>
      </c>
      <c r="L12" t="str">
        <f>IF(AND(J12&lt;&gt;"", E12&lt;&gt;""), IF(E12 &gt; IFERROR(INDEX(جدول [2]الأقساط!$E:$E,MATCH(J12,جدول [2]الأقساط!$A:$A,0)), E12), "⚠️ تحصيل أكبر من قيمة القسط", "سليم"), "سليم")</f>
        <v>سليم</v>
      </c>
    </row>
    <row r="13" spans="1:12" x14ac:dyDescent="0.25">
      <c r="C13" t="str">
        <f>IF(I13="","",IFERROR(INDEX(المبيعات!$C:$C,MATCH(I13,المبيعات!$A:$A,0)),""))</f>
        <v/>
      </c>
      <c r="F13" t="s">
        <v>187</v>
      </c>
      <c r="L13" t="str">
        <f>IF(AND(J13&lt;&gt;"", E13&lt;&gt;""), IF(E13 &gt; IFERROR(INDEX(جدول [2]الأقساط!$E:$E,MATCH(J13,جدول [2]الأقساط!$A:$A,0)), E13), "⚠️ تحصيل أكبر من قيمة القسط", "سليم"), "سليم")</f>
        <v>سليم</v>
      </c>
    </row>
    <row r="14" spans="1:12" x14ac:dyDescent="0.25">
      <c r="C14" t="str">
        <f>IF(I14="","",IFERROR(INDEX(المبيعات!$C:$C,MATCH(I14,المبيعات!$A:$A,0)),""))</f>
        <v/>
      </c>
      <c r="L14" t="str">
        <f>IF(AND(J14&lt;&gt;"", E14&lt;&gt;""), IF(E14 &gt; IFERROR(INDEX(جدول [2]الأقساط!$E:$E,MATCH(J14,جدول [2]الأقساط!$A:$A,0)), E14), "⚠️ تحصيل أكبر من قيمة القسط", "سليم"), "سليم")</f>
        <v>سليم</v>
      </c>
    </row>
    <row r="15" spans="1:12" x14ac:dyDescent="0.25">
      <c r="C15" t="str">
        <f>IF(I15="","",IFERROR(INDEX(المبيعات!$C:$C,MATCH(I15,المبيعات!$A:$A,0)),""))</f>
        <v/>
      </c>
      <c r="L15" t="str">
        <f>IF(AND(J15&lt;&gt;"", E15&lt;&gt;""), IF(E15 &gt; IFERROR(INDEX(جدول [2]الأقساط!$E:$E,MATCH(J15,جدول [2]الأقساط!$A:$A,0)), E15), "⚠️ تحصيل أكبر من قيمة القسط", "سليم"), "سليم")</f>
        <v>سليم</v>
      </c>
    </row>
    <row r="16" spans="1:12" x14ac:dyDescent="0.25">
      <c r="C16" t="str">
        <f>IF(I16="","",IFERROR(INDEX(المبيعات!$C:$C,MATCH(I16,المبيعات!$A:$A,0)),""))</f>
        <v/>
      </c>
      <c r="L16" t="str">
        <f>IF(AND(J16&lt;&gt;"", E16&lt;&gt;""), IF(E16 &gt; IFERROR(INDEX(جدول [2]الأقساط!$E:$E,MATCH(J16,جدول [2]الأقساط!$A:$A,0)), E16), "⚠️ تحصيل أكبر من قيمة القسط", "سليم"), "سليم")</f>
        <v>سليم</v>
      </c>
    </row>
    <row r="17" spans="3:12" x14ac:dyDescent="0.25">
      <c r="C17" t="str">
        <f>IF(I17="","",IFERROR(INDEX(المبيعات!$C:$C,MATCH(I17,المبيعات!$A:$A,0)),""))</f>
        <v/>
      </c>
      <c r="L17" t="str">
        <f>IF(AND(J17&lt;&gt;"", E17&lt;&gt;""), IF(E17 &gt; IFERROR(INDEX(جدول [2]الأقساط!$E:$E,MATCH(J17,جدول [2]الأقساط!$A:$A,0)), E17), "⚠️ تحصيل أكبر من قيمة القسط", "سليم"), "سليم")</f>
        <v>سليم</v>
      </c>
    </row>
    <row r="18" spans="3:12" x14ac:dyDescent="0.25">
      <c r="C18" t="str">
        <f>IF(I18="","",IFERROR(INDEX(المبيعات!$C:$C,MATCH(I18,المبيعات!$A:$A,0)),""))</f>
        <v/>
      </c>
      <c r="L18" t="str">
        <f>IF(AND(J18&lt;&gt;"", E18&lt;&gt;""), IF(E18 &gt; IFERROR(INDEX(جدول [2]الأقساط!$E:$E,MATCH(J18,جدول [2]الأقساط!$A:$A,0)), E18), "⚠️ تحصيل أكبر من قيمة القسط", "سليم"), "سليم")</f>
        <v>سليم</v>
      </c>
    </row>
    <row r="19" spans="3:12" x14ac:dyDescent="0.25">
      <c r="C19" t="str">
        <f>IF(I19="","",IFERROR(INDEX(المبيعات!$C:$C,MATCH(I19,المبيعات!$A:$A,0)),""))</f>
        <v/>
      </c>
      <c r="L19" t="str">
        <f>IF(AND(J19&lt;&gt;"", E19&lt;&gt;""), IF(E19 &gt; IFERROR(INDEX(جدول [2]الأقساط!$E:$E,MATCH(J19,جدول [2]الأقساط!$A:$A,0)), E19), "⚠️ تحصيل أكبر من قيمة القسط", "سليم"), "سليم")</f>
        <v>سليم</v>
      </c>
    </row>
    <row r="20" spans="3:12" x14ac:dyDescent="0.25">
      <c r="C20" t="str">
        <f>IF(I20="","",IFERROR(INDEX(المبيعات!$C:$C,MATCH(I20,المبيعات!$A:$A,0)),""))</f>
        <v/>
      </c>
      <c r="L20" t="str">
        <f>IF(AND(J20&lt;&gt;"", E20&lt;&gt;""), IF(E20 &gt; IFERROR(INDEX(جدول [2]الأقساط!$E:$E,MATCH(J20,جدول [2]الأقساط!$A:$A,0)), E20), "⚠️ تحصيل أكبر من قيمة القسط", "سليم"), "سليم")</f>
        <v>سليم</v>
      </c>
    </row>
    <row r="21" spans="3:12" x14ac:dyDescent="0.25">
      <c r="C21" t="str">
        <f>IF(I21="","",IFERROR(INDEX(المبيعات!$C:$C,MATCH(I21,المبيعات!$A:$A,0)),""))</f>
        <v/>
      </c>
      <c r="L21" t="str">
        <f>IF(AND(J21&lt;&gt;"", E21&lt;&gt;""), IF(E21 &gt; IFERROR(INDEX(جدول [2]الأقساط!$E:$E,MATCH(J21,جدول [2]الأقساط!$A:$A,0)), E21), "⚠️ تحصيل أكبر من قيمة القسط", "سليم"), "سليم")</f>
        <v>سليم</v>
      </c>
    </row>
    <row r="22" spans="3:12" x14ac:dyDescent="0.25">
      <c r="C22" t="str">
        <f>IF(I22="","",IFERROR(INDEX(المبيعات!$C:$C,MATCH(I22,المبيعات!$A:$A,0)),""))</f>
        <v/>
      </c>
      <c r="L22" t="str">
        <f>IF(AND(J22&lt;&gt;"", E22&lt;&gt;""), IF(E22 &gt; IFERROR(INDEX(جدول [2]الأقساط!$E:$E,MATCH(J22,جدول [2]الأقساط!$A:$A,0)), E22), "⚠️ تحصيل أكبر من قيمة القسط", "سليم"), "سليم")</f>
        <v>سليم</v>
      </c>
    </row>
    <row r="23" spans="3:12" x14ac:dyDescent="0.25">
      <c r="C23" t="str">
        <f>IF(I23="","",IFERROR(INDEX(المبيعات!$C:$C,MATCH(I23,المبيعات!$A:$A,0)),""))</f>
        <v/>
      </c>
      <c r="L23" t="str">
        <f>IF(AND(J23&lt;&gt;"", E23&lt;&gt;""), IF(E23 &gt; IFERROR(INDEX(جدول [2]الأقساط!$E:$E,MATCH(J23,جدول [2]الأقساط!$A:$A,0)), E23), "⚠️ تحصيل أكبر من قيمة القسط", "سليم"), "سليم")</f>
        <v>سليم</v>
      </c>
    </row>
    <row r="24" spans="3:12" x14ac:dyDescent="0.25">
      <c r="C24" t="str">
        <f>IF(I24="","",IFERROR(INDEX(المبيعات!$C:$C,MATCH(I24,المبيعات!$A:$A,0)),""))</f>
        <v/>
      </c>
      <c r="L24" t="str">
        <f>IF(AND(J24&lt;&gt;"", E24&lt;&gt;""), IF(E24 &gt; IFERROR(INDEX(جدول [2]الأقساط!$E:$E,MATCH(J24,جدول [2]الأقساط!$A:$A,0)), E24), "⚠️ تحصيل أكبر من قيمة القسط", "سليم"), "سليم")</f>
        <v>سليم</v>
      </c>
    </row>
    <row r="25" spans="3:12" x14ac:dyDescent="0.25">
      <c r="C25" t="str">
        <f>IF(I25="","",IFERROR(INDEX(المبيعات!$C:$C,MATCH(I25,المبيعات!$A:$A,0)),""))</f>
        <v/>
      </c>
      <c r="L25" t="str">
        <f>IF(AND(J25&lt;&gt;"", E25&lt;&gt;""), IF(E25 &gt; IFERROR(INDEX(جدول [2]الأقساط!$E:$E,MATCH(J25,جدول [2]الأقساط!$A:$A,0)), E25), "⚠️ تحصيل أكبر من قيمة القسط", "سليم"), "سليم")</f>
        <v>سليم</v>
      </c>
    </row>
    <row r="26" spans="3:12" x14ac:dyDescent="0.25">
      <c r="C26" t="str">
        <f>IF(I26="","",IFERROR(INDEX(المبيعات!$C:$C,MATCH(I26,المبيعات!$A:$A,0)),""))</f>
        <v/>
      </c>
      <c r="L26" t="str">
        <f>IF(AND(J26&lt;&gt;"", E26&lt;&gt;""), IF(E26 &gt; IFERROR(INDEX(جدول [2]الأقساط!$E:$E,MATCH(J26,جدول [2]الأقساط!$A:$A,0)), E26), "⚠️ تحصيل أكبر من قيمة القسط", "سليم"), "سليم")</f>
        <v>سليم</v>
      </c>
    </row>
    <row r="27" spans="3:12" x14ac:dyDescent="0.25">
      <c r="C27" t="str">
        <f>IF(I27="","",IFERROR(INDEX(المبيعات!$C:$C,MATCH(I27,المبيعات!$A:$A,0)),""))</f>
        <v/>
      </c>
      <c r="L27" t="str">
        <f>IF(AND(J27&lt;&gt;"", E27&lt;&gt;""), IF(E27 &gt; IFERROR(INDEX(جدول [2]الأقساط!$E:$E,MATCH(J27,جدول [2]الأقساط!$A:$A,0)), E27), "⚠️ تحصيل أكبر من قيمة القسط", "سليم"), "سليم")</f>
        <v>سليم</v>
      </c>
    </row>
    <row r="28" spans="3:12" x14ac:dyDescent="0.25">
      <c r="C28" t="str">
        <f>IF(I28="","",IFERROR(INDEX(المبيعات!$C:$C,MATCH(I28,المبيعات!$A:$A,0)),""))</f>
        <v/>
      </c>
      <c r="L28" t="str">
        <f>IF(AND(J28&lt;&gt;"", E28&lt;&gt;""), IF(E28 &gt; IFERROR(INDEX(جدول [2]الأقساط!$E:$E,MATCH(J28,جدول [2]الأقساط!$A:$A,0)), E28), "⚠️ تحصيل أكبر من قيمة القسط", "سليم"), "سليم")</f>
        <v>سليم</v>
      </c>
    </row>
    <row r="29" spans="3:12" x14ac:dyDescent="0.25">
      <c r="C29" t="str">
        <f>IF(I29="","",IFERROR(INDEX(المبيعات!$C:$C,MATCH(I29,المبيعات!$A:$A,0)),""))</f>
        <v/>
      </c>
      <c r="L29" t="str">
        <f>IF(AND(J29&lt;&gt;"", E29&lt;&gt;""), IF(E29 &gt; IFERROR(INDEX(جدول [2]الأقساط!$E:$E,MATCH(J29,جدول [2]الأقساط!$A:$A,0)), E29), "⚠️ تحصيل أكبر من قيمة القسط", "سليم"), "سليم")</f>
        <v>سليم</v>
      </c>
    </row>
    <row r="30" spans="3:12" x14ac:dyDescent="0.25">
      <c r="C30" t="str">
        <f>IF(I30="","",IFERROR(INDEX(المبيعات!$C:$C,MATCH(I30,المبيعات!$A:$A,0)),""))</f>
        <v/>
      </c>
      <c r="L30" t="str">
        <f>IF(AND(J30&lt;&gt;"", E30&lt;&gt;""), IF(E30 &gt; IFERROR(INDEX(جدول [2]الأقساط!$E:$E,MATCH(J30,جدول [2]الأقساط!$A:$A,0)), E30), "⚠️ تحصيل أكبر من قيمة القسط", "سليم"), "سليم")</f>
        <v>سليم</v>
      </c>
    </row>
    <row r="31" spans="3:12" x14ac:dyDescent="0.25">
      <c r="C31" t="str">
        <f>IF(I31="","",IFERROR(INDEX(المبيعات!$C:$C,MATCH(I31,المبيعات!$A:$A,0)),""))</f>
        <v/>
      </c>
      <c r="L31" t="str">
        <f>IF(AND(J31&lt;&gt;"", E31&lt;&gt;""), IF(E31 &gt; IFERROR(INDEX(جدول [2]الأقساط!$E:$E,MATCH(J31,جدول [2]الأقساط!$A:$A,0)), E31), "⚠️ تحصيل أكبر من قيمة القسط", "سليم"), "سليم")</f>
        <v>سليم</v>
      </c>
    </row>
    <row r="32" spans="3:12" x14ac:dyDescent="0.25">
      <c r="C32" t="str">
        <f>IF(I32="","",IFERROR(INDEX(المبيعات!$C:$C,MATCH(I32,المبيعات!$A:$A,0)),""))</f>
        <v/>
      </c>
      <c r="L32" t="str">
        <f>IF(AND(J32&lt;&gt;"", E32&lt;&gt;""), IF(E32 &gt; IFERROR(INDEX(جدول [2]الأقساط!$E:$E,MATCH(J32,جدول [2]الأقساط!$A:$A,0)), E32), "⚠️ تحصيل أكبر من قيمة القسط", "سليم"), "سليم")</f>
        <v>سليم</v>
      </c>
    </row>
    <row r="33" spans="3:12" x14ac:dyDescent="0.25">
      <c r="C33" t="str">
        <f>IF(I33="","",IFERROR(INDEX(المبيعات!$C:$C,MATCH(I33,المبيعات!$A:$A,0)),""))</f>
        <v/>
      </c>
      <c r="L33" t="str">
        <f>IF(AND(J33&lt;&gt;"", E33&lt;&gt;""), IF(E33 &gt; IFERROR(INDEX(جدول [2]الأقساط!$E:$E,MATCH(J33,جدول [2]الأقساط!$A:$A,0)), E33), "⚠️ تحصيل أكبر من قيمة القسط", "سليم"), "سليم")</f>
        <v>سليم</v>
      </c>
    </row>
    <row r="34" spans="3:12" x14ac:dyDescent="0.25">
      <c r="C34" t="str">
        <f>IF(I34="","",IFERROR(INDEX(المبيعات!$C:$C,MATCH(I34,المبيعات!$A:$A,0)),""))</f>
        <v/>
      </c>
      <c r="L34" t="str">
        <f>IF(AND(J34&lt;&gt;"", E34&lt;&gt;""), IF(E34 &gt; IFERROR(INDEX(جدول [2]الأقساط!$E:$E,MATCH(J34,جدول [2]الأقساط!$A:$A,0)), E34), "⚠️ تحصيل أكبر من قيمة القسط", "سليم"), "سليم")</f>
        <v>سليم</v>
      </c>
    </row>
    <row r="35" spans="3:12" x14ac:dyDescent="0.25">
      <c r="C35" t="str">
        <f>IF(I35="","",IFERROR(INDEX(المبيعات!$C:$C,MATCH(I35,المبيعات!$A:$A,0)),""))</f>
        <v/>
      </c>
      <c r="L35" t="str">
        <f>IF(AND(J35&lt;&gt;"", E35&lt;&gt;""), IF(E35 &gt; IFERROR(INDEX(جدول [2]الأقساط!$E:$E,MATCH(J35,جدول [2]الأقساط!$A:$A,0)), E35), "⚠️ تحصيل أكبر من قيمة القسط", "سليم"), "سليم")</f>
        <v>سليم</v>
      </c>
    </row>
    <row r="36" spans="3:12" x14ac:dyDescent="0.25">
      <c r="C36" t="str">
        <f>IF(I36="","",IFERROR(INDEX(المبيعات!$C:$C,MATCH(I36,المبيعات!$A:$A,0)),""))</f>
        <v/>
      </c>
      <c r="L36" t="str">
        <f>IF(AND(J36&lt;&gt;"", E36&lt;&gt;""), IF(E36 &gt; IFERROR(INDEX(جدول [2]الأقساط!$E:$E,MATCH(J36,جدول [2]الأقساط!$A:$A,0)), E36), "⚠️ تحصيل أكبر من قيمة القسط", "سليم"), "سليم")</f>
        <v>سليم</v>
      </c>
    </row>
    <row r="37" spans="3:12" x14ac:dyDescent="0.25">
      <c r="C37" t="str">
        <f>IF(I37="","",IFERROR(INDEX(المبيعات!$C:$C,MATCH(I37,المبيعات!$A:$A,0)),""))</f>
        <v/>
      </c>
      <c r="L37" t="str">
        <f>IF(AND(J37&lt;&gt;"", E37&lt;&gt;""), IF(E37 &gt; IFERROR(INDEX(جدول [2]الأقساط!$E:$E,MATCH(J37,جدول [2]الأقساط!$A:$A,0)), E37), "⚠️ تحصيل أكبر من قيمة القسط", "سليم"), "سليم")</f>
        <v>سليم</v>
      </c>
    </row>
    <row r="38" spans="3:12" x14ac:dyDescent="0.25">
      <c r="C38" t="str">
        <f>IF(I38="","",IFERROR(INDEX(المبيعات!$C:$C,MATCH(I38,المبيعات!$A:$A,0)),""))</f>
        <v/>
      </c>
      <c r="L38" t="str">
        <f>IF(AND(J38&lt;&gt;"", E38&lt;&gt;""), IF(E38 &gt; IFERROR(INDEX(جدول [2]الأقساط!$E:$E,MATCH(J38,جدول [2]الأقساط!$A:$A,0)), E38), "⚠️ تحصيل أكبر من قيمة القسط", "سليم"), "سليم")</f>
        <v>سليم</v>
      </c>
    </row>
    <row r="39" spans="3:12" x14ac:dyDescent="0.25">
      <c r="C39" t="str">
        <f>IF(I39="","",IFERROR(INDEX(المبيعات!$C:$C,MATCH(I39,المبيعات!$A:$A,0)),""))</f>
        <v/>
      </c>
      <c r="L39" t="str">
        <f>IF(AND(J39&lt;&gt;"", E39&lt;&gt;""), IF(E39 &gt; IFERROR(INDEX(جدول [2]الأقساط!$E:$E,MATCH(J39,جدول [2]الأقساط!$A:$A,0)), E39), "⚠️ تحصيل أكبر من قيمة القسط", "سليم"), "سليم")</f>
        <v>سليم</v>
      </c>
    </row>
    <row r="40" spans="3:12" x14ac:dyDescent="0.25">
      <c r="C40" t="str">
        <f>IF(I40="","",IFERROR(INDEX(المبيعات!$C:$C,MATCH(I40,المبيعات!$A:$A,0)),""))</f>
        <v/>
      </c>
      <c r="L40" t="str">
        <f>IF(AND(J40&lt;&gt;"", E40&lt;&gt;""), IF(E40 &gt; IFERROR(INDEX(جدول [2]الأقساط!$E:$E,MATCH(J40,جدول [2]الأقساط!$A:$A,0)), E40), "⚠️ تحصيل أكبر من قيمة القسط", "سليم"), "سليم")</f>
        <v>سليم</v>
      </c>
    </row>
    <row r="41" spans="3:12" x14ac:dyDescent="0.25">
      <c r="C41" t="str">
        <f>IF(I41="","",IFERROR(INDEX(المبيعات!$C:$C,MATCH(I41,المبيعات!$A:$A,0)),""))</f>
        <v/>
      </c>
      <c r="L41" t="str">
        <f>IF(AND(J41&lt;&gt;"", E41&lt;&gt;""), IF(E41 &gt; IFERROR(INDEX(جدول [2]الأقساط!$E:$E,MATCH(J41,جدول [2]الأقساط!$A:$A,0)), E41), "⚠️ تحصيل أكبر من قيمة القسط", "سليم"), "سليم")</f>
        <v>سليم</v>
      </c>
    </row>
    <row r="42" spans="3:12" x14ac:dyDescent="0.25">
      <c r="C42" t="str">
        <f>IF(I42="","",IFERROR(INDEX(المبيعات!$C:$C,MATCH(I42,المبيعات!$A:$A,0)),""))</f>
        <v/>
      </c>
      <c r="L42" t="str">
        <f>IF(AND(J42&lt;&gt;"", E42&lt;&gt;""), IF(E42 &gt; IFERROR(INDEX(جدول [2]الأقساط!$E:$E,MATCH(J42,جدول [2]الأقساط!$A:$A,0)), E42), "⚠️ تحصيل أكبر من قيمة القسط", "سليم"), "سليم")</f>
        <v>سليم</v>
      </c>
    </row>
    <row r="43" spans="3:12" x14ac:dyDescent="0.25">
      <c r="C43" t="str">
        <f>IF(I43="","",IFERROR(INDEX(المبيعات!$C:$C,MATCH(I43,المبيعات!$A:$A,0)),""))</f>
        <v/>
      </c>
      <c r="L43" t="str">
        <f>IF(AND(J43&lt;&gt;"", E43&lt;&gt;""), IF(E43 &gt; IFERROR(INDEX(جدول [2]الأقساط!$E:$E,MATCH(J43,جدول [2]الأقساط!$A:$A,0)), E43), "⚠️ تحصيل أكبر من قيمة القسط", "سليم"), "سليم")</f>
        <v>سليم</v>
      </c>
    </row>
    <row r="44" spans="3:12" x14ac:dyDescent="0.25">
      <c r="C44" t="str">
        <f>IF(I44="","",IFERROR(INDEX(المبيعات!$C:$C,MATCH(I44,المبيعات!$A:$A,0)),""))</f>
        <v/>
      </c>
      <c r="L44" t="str">
        <f>IF(AND(J44&lt;&gt;"", E44&lt;&gt;""), IF(E44 &gt; IFERROR(INDEX(جدول [2]الأقساط!$E:$E,MATCH(J44,جدول [2]الأقساط!$A:$A,0)), E44), "⚠️ تحصيل أكبر من قيمة القسط", "سليم"), "سليم")</f>
        <v>سليم</v>
      </c>
    </row>
    <row r="45" spans="3:12" x14ac:dyDescent="0.25">
      <c r="C45" t="str">
        <f>IF(I45="","",IFERROR(INDEX(المبيعات!$C:$C,MATCH(I45,المبيعات!$A:$A,0)),""))</f>
        <v/>
      </c>
      <c r="L45" t="str">
        <f>IF(AND(J45&lt;&gt;"", E45&lt;&gt;""), IF(E45 &gt; IFERROR(INDEX(جدول [2]الأقساط!$E:$E,MATCH(J45,جدول [2]الأقساط!$A:$A,0)), E45), "⚠️ تحصيل أكبر من قيمة القسط", "سليم"), "سليم")</f>
        <v>سليم</v>
      </c>
    </row>
    <row r="46" spans="3:12" x14ac:dyDescent="0.25">
      <c r="C46" t="str">
        <f>IF(I46="","",IFERROR(INDEX(المبيعات!$C:$C,MATCH(I46,المبيعات!$A:$A,0)),""))</f>
        <v/>
      </c>
      <c r="L46" t="str">
        <f>IF(AND(J46&lt;&gt;"", E46&lt;&gt;""), IF(E46 &gt; IFERROR(INDEX(جدول [2]الأقساط!$E:$E,MATCH(J46,جدول [2]الأقساط!$A:$A,0)), E46), "⚠️ تحصيل أكبر من قيمة القسط", "سليم"), "سليم")</f>
        <v>سليم</v>
      </c>
    </row>
    <row r="47" spans="3:12" x14ac:dyDescent="0.25">
      <c r="C47" t="str">
        <f>IF(I47="","",IFERROR(INDEX(المبيعات!$C:$C,MATCH(I47,المبيعات!$A:$A,0)),""))</f>
        <v/>
      </c>
      <c r="L47" t="str">
        <f>IF(AND(J47&lt;&gt;"", E47&lt;&gt;""), IF(E47 &gt; IFERROR(INDEX(جدول [2]الأقساط!$E:$E,MATCH(J47,جدول [2]الأقساط!$A:$A,0)), E47), "⚠️ تحصيل أكبر من قيمة القسط", "سليم"), "سليم")</f>
        <v>سليم</v>
      </c>
    </row>
    <row r="48" spans="3:12" x14ac:dyDescent="0.25">
      <c r="C48" t="str">
        <f>IF(I48="","",IFERROR(INDEX(المبيعات!$C:$C,MATCH(I48,المبيعات!$A:$A,0)),""))</f>
        <v/>
      </c>
      <c r="L48" t="str">
        <f>IF(AND(J48&lt;&gt;"", E48&lt;&gt;""), IF(E48 &gt; IFERROR(INDEX(جدول [2]الأقساط!$E:$E,MATCH(J48,جدول [2]الأقساط!$A:$A,0)), E48), "⚠️ تحصيل أكبر من قيمة القسط", "سليم"), "سليم")</f>
        <v>سليم</v>
      </c>
    </row>
    <row r="49" spans="3:12" x14ac:dyDescent="0.25">
      <c r="C49" t="str">
        <f>IF(I49="","",IFERROR(INDEX(المبيعات!$C:$C,MATCH(I49,المبيعات!$A:$A,0)),""))</f>
        <v/>
      </c>
      <c r="L49" t="str">
        <f>IF(AND(J49&lt;&gt;"", E49&lt;&gt;""), IF(E49 &gt; IFERROR(INDEX(جدول [2]الأقساط!$E:$E,MATCH(J49,جدول [2]الأقساط!$A:$A,0)), E49), "⚠️ تحصيل أكبر من قيمة القسط", "سليم"), "سليم")</f>
        <v>سليم</v>
      </c>
    </row>
    <row r="50" spans="3:12" x14ac:dyDescent="0.25">
      <c r="C50" t="str">
        <f>IF(I50="","",IFERROR(INDEX(المبيعات!$C:$C,MATCH(I50,المبيعات!$A:$A,0)),""))</f>
        <v/>
      </c>
      <c r="L50" t="str">
        <f>IF(AND(J50&lt;&gt;"", E50&lt;&gt;""), IF(E50 &gt; IFERROR(INDEX(جدول [2]الأقساط!$E:$E,MATCH(J50,جدول [2]الأقساط!$A:$A,0)), E50), "⚠️ تحصيل أكبر من قيمة القسط", "سليم"), "سليم")</f>
        <v>سليم</v>
      </c>
    </row>
    <row r="51" spans="3:12" x14ac:dyDescent="0.25">
      <c r="C51" t="str">
        <f>IF(I51="","",IFERROR(INDEX(المبيعات!$C:$C,MATCH(I51,المبيعات!$A:$A,0)),""))</f>
        <v/>
      </c>
      <c r="L51" t="str">
        <f>IF(AND(J51&lt;&gt;"", E51&lt;&gt;""), IF(E51 &gt; IFERROR(INDEX(جدول [2]الأقساط!$E:$E,MATCH(J51,جدول [2]الأقساط!$A:$A,0)), E51), "⚠️ تحصيل أكبر من قيمة القسط", "سليم"), "سليم")</f>
        <v>سليم</v>
      </c>
    </row>
    <row r="52" spans="3:12" x14ac:dyDescent="0.25">
      <c r="C52" t="str">
        <f>IF(I52="","",IFERROR(INDEX(المبيعات!$C:$C,MATCH(I52,المبيعات!$A:$A,0)),""))</f>
        <v/>
      </c>
      <c r="L52" t="str">
        <f>IF(AND(J52&lt;&gt;"", E52&lt;&gt;""), IF(E52 &gt; IFERROR(INDEX(جدول [2]الأقساط!$E:$E,MATCH(J52,جدول [2]الأقساط!$A:$A,0)), E52), "⚠️ تحصيل أكبر من قيمة القسط", "سليم"), "سليم")</f>
        <v>سليم</v>
      </c>
    </row>
    <row r="53" spans="3:12" x14ac:dyDescent="0.25">
      <c r="C53" t="str">
        <f>IF(I53="","",IFERROR(INDEX(المبيعات!$C:$C,MATCH(I53,المبيعات!$A:$A,0)),""))</f>
        <v/>
      </c>
      <c r="L53" t="str">
        <f>IF(AND(J53&lt;&gt;"", E53&lt;&gt;""), IF(E53 &gt; IFERROR(INDEX(جدول [2]الأقساط!$E:$E,MATCH(J53,جدول [2]الأقساط!$A:$A,0)), E53), "⚠️ تحصيل أكبر من قيمة القسط", "سليم"), "سليم")</f>
        <v>سليم</v>
      </c>
    </row>
    <row r="54" spans="3:12" x14ac:dyDescent="0.25">
      <c r="C54" t="str">
        <f>IF(I54="","",IFERROR(INDEX(المبيعات!$C:$C,MATCH(I54,المبيعات!$A:$A,0)),""))</f>
        <v/>
      </c>
      <c r="L54" t="str">
        <f>IF(AND(J54&lt;&gt;"", E54&lt;&gt;""), IF(E54 &gt; IFERROR(INDEX(جدول [2]الأقساط!$E:$E,MATCH(J54,جدول [2]الأقساط!$A:$A,0)), E54), "⚠️ تحصيل أكبر من قيمة القسط", "سليم"), "سليم")</f>
        <v>سليم</v>
      </c>
    </row>
    <row r="55" spans="3:12" x14ac:dyDescent="0.25">
      <c r="C55" t="str">
        <f>IF(I55="","",IFERROR(INDEX(المبيعات!$C:$C,MATCH(I55,المبيعات!$A:$A,0)),""))</f>
        <v/>
      </c>
      <c r="L55" t="str">
        <f>IF(AND(J55&lt;&gt;"", E55&lt;&gt;""), IF(E55 &gt; IFERROR(INDEX(جدول [2]الأقساط!$E:$E,MATCH(J55,جدول [2]الأقساط!$A:$A,0)), E55), "⚠️ تحصيل أكبر من قيمة القسط", "سليم"), "سليم")</f>
        <v>سليم</v>
      </c>
    </row>
    <row r="56" spans="3:12" x14ac:dyDescent="0.25">
      <c r="C56" t="str">
        <f>IF(I56="","",IFERROR(INDEX(المبيعات!$C:$C,MATCH(I56,المبيعات!$A:$A,0)),""))</f>
        <v/>
      </c>
      <c r="L56" t="str">
        <f>IF(AND(J56&lt;&gt;"", E56&lt;&gt;""), IF(E56 &gt; IFERROR(INDEX(جدول [2]الأقساط!$E:$E,MATCH(J56,جدول [2]الأقساط!$A:$A,0)), E56), "⚠️ تحصيل أكبر من قيمة القسط", "سليم"), "سليم")</f>
        <v>سليم</v>
      </c>
    </row>
    <row r="57" spans="3:12" x14ac:dyDescent="0.25">
      <c r="C57" t="str">
        <f>IF(I57="","",IFERROR(INDEX(المبيعات!$C:$C,MATCH(I57,المبيعات!$A:$A,0)),""))</f>
        <v/>
      </c>
      <c r="L57" t="str">
        <f>IF(AND(J57&lt;&gt;"", E57&lt;&gt;""), IF(E57 &gt; IFERROR(INDEX(جدول [2]الأقساط!$E:$E,MATCH(J57,جدول [2]الأقساط!$A:$A,0)), E57), "⚠️ تحصيل أكبر من قيمة القسط", "سليم"), "سليم")</f>
        <v>سليم</v>
      </c>
    </row>
    <row r="58" spans="3:12" x14ac:dyDescent="0.25">
      <c r="C58" t="str">
        <f>IF(I58="","",IFERROR(INDEX(المبيعات!$C:$C,MATCH(I58,المبيعات!$A:$A,0)),""))</f>
        <v/>
      </c>
      <c r="L58" t="str">
        <f>IF(AND(J58&lt;&gt;"", E58&lt;&gt;""), IF(E58 &gt; IFERROR(INDEX(جدول [2]الأقساط!$E:$E,MATCH(J58,جدول [2]الأقساط!$A:$A,0)), E58), "⚠️ تحصيل أكبر من قيمة القسط", "سليم"), "سليم")</f>
        <v>سليم</v>
      </c>
    </row>
    <row r="59" spans="3:12" x14ac:dyDescent="0.25">
      <c r="C59" t="str">
        <f>IF(I59="","",IFERROR(INDEX(المبيعات!$C:$C,MATCH(I59,المبيعات!$A:$A,0)),""))</f>
        <v/>
      </c>
      <c r="L59" t="str">
        <f>IF(AND(J59&lt;&gt;"", E59&lt;&gt;""), IF(E59 &gt; IFERROR(INDEX(جدول [2]الأقساط!$E:$E,MATCH(J59,جدول [2]الأقساط!$A:$A,0)), E59), "⚠️ تحصيل أكبر من قيمة القسط", "سليم"), "سليم")</f>
        <v>سليم</v>
      </c>
    </row>
    <row r="60" spans="3:12" x14ac:dyDescent="0.25">
      <c r="C60" t="str">
        <f>IF(I60="","",IFERROR(INDEX(المبيعات!$C:$C,MATCH(I60,المبيعات!$A:$A,0)),""))</f>
        <v/>
      </c>
      <c r="L60" t="str">
        <f>IF(AND(J60&lt;&gt;"", E60&lt;&gt;""), IF(E60 &gt; IFERROR(INDEX(جدول [2]الأقساط!$E:$E,MATCH(J60,جدول [2]الأقساط!$A:$A,0)), E60), "⚠️ تحصيل أكبر من قيمة القسط", "سليم"), "سليم")</f>
        <v>سليم</v>
      </c>
    </row>
    <row r="61" spans="3:12" x14ac:dyDescent="0.25">
      <c r="C61" t="str">
        <f>IF(I61="","",IFERROR(INDEX(المبيعات!$C:$C,MATCH(I61,المبيعات!$A:$A,0)),""))</f>
        <v/>
      </c>
      <c r="L61" t="str">
        <f>IF(AND(J61&lt;&gt;"", E61&lt;&gt;""), IF(E61 &gt; IFERROR(INDEX(جدول [2]الأقساط!$E:$E,MATCH(J61,جدول [2]الأقساط!$A:$A,0)), E61), "⚠️ تحصيل أكبر من قيمة القسط", "سليم"), "سليم")</f>
        <v>سليم</v>
      </c>
    </row>
    <row r="62" spans="3:12" x14ac:dyDescent="0.25">
      <c r="C62" t="str">
        <f>IF(I62="","",IFERROR(INDEX(المبيعات!$C:$C,MATCH(I62,المبيعات!$A:$A,0)),""))</f>
        <v/>
      </c>
      <c r="L62" t="str">
        <f>IF(AND(J62&lt;&gt;"", E62&lt;&gt;""), IF(E62 &gt; IFERROR(INDEX(جدول [2]الأقساط!$E:$E,MATCH(J62,جدول [2]الأقساط!$A:$A,0)), E62), "⚠️ تحصيل أكبر من قيمة القسط", "سليم"), "سليم")</f>
        <v>سليم</v>
      </c>
    </row>
    <row r="63" spans="3:12" x14ac:dyDescent="0.25">
      <c r="C63" t="str">
        <f>IF(I63="","",IFERROR(INDEX(المبيعات!$C:$C,MATCH(I63,المبيعات!$A:$A,0)),""))</f>
        <v/>
      </c>
      <c r="L63" t="str">
        <f>IF(AND(J63&lt;&gt;"", E63&lt;&gt;""), IF(E63 &gt; IFERROR(INDEX(جدول [2]الأقساط!$E:$E,MATCH(J63,جدول [2]الأقساط!$A:$A,0)), E63), "⚠️ تحصيل أكبر من قيمة القسط", "سليم"), "سليم")</f>
        <v>سليم</v>
      </c>
    </row>
    <row r="64" spans="3:12" x14ac:dyDescent="0.25">
      <c r="C64" t="str">
        <f>IF(I64="","",IFERROR(INDEX(المبيعات!$C:$C,MATCH(I64,المبيعات!$A:$A,0)),""))</f>
        <v/>
      </c>
      <c r="L64" t="str">
        <f>IF(AND(J64&lt;&gt;"", E64&lt;&gt;""), IF(E64 &gt; IFERROR(INDEX(جدول [2]الأقساط!$E:$E,MATCH(J64,جدول [2]الأقساط!$A:$A,0)), E64), "⚠️ تحصيل أكبر من قيمة القسط", "سليم"), "سليم")</f>
        <v>سليم</v>
      </c>
    </row>
    <row r="65" spans="3:12" x14ac:dyDescent="0.25">
      <c r="C65" t="str">
        <f>IF(I65="","",IFERROR(INDEX(المبيعات!$C:$C,MATCH(I65,المبيعات!$A:$A,0)),""))</f>
        <v/>
      </c>
      <c r="L65" t="str">
        <f>IF(AND(J65&lt;&gt;"", E65&lt;&gt;""), IF(E65 &gt; IFERROR(INDEX(جدول [2]الأقساط!$E:$E,MATCH(J65,جدول [2]الأقساط!$A:$A,0)), E65), "⚠️ تحصيل أكبر من قيمة القسط", "سليم"), "سليم")</f>
        <v>سليم</v>
      </c>
    </row>
    <row r="66" spans="3:12" x14ac:dyDescent="0.25">
      <c r="C66" t="str">
        <f>IF(I66="","",IFERROR(INDEX(المبيعات!$C:$C,MATCH(I66,المبيعات!$A:$A,0)),""))</f>
        <v/>
      </c>
      <c r="L66" t="str">
        <f>IF(AND(J66&lt;&gt;"", E66&lt;&gt;""), IF(E66 &gt; IFERROR(INDEX(جدول [2]الأقساط!$E:$E,MATCH(J66,جدول [2]الأقساط!$A:$A,0)), E66), "⚠️ تحصيل أكبر من قيمة القسط", "سليم"), "سليم")</f>
        <v>سليم</v>
      </c>
    </row>
    <row r="67" spans="3:12" x14ac:dyDescent="0.25">
      <c r="C67" t="str">
        <f>IF(I67="","",IFERROR(INDEX(المبيعات!$C:$C,MATCH(I67,المبيعات!$A:$A,0)),""))</f>
        <v/>
      </c>
      <c r="L67" t="str">
        <f>IF(AND(J67&lt;&gt;"", E67&lt;&gt;""), IF(E67 &gt; IFERROR(INDEX(جدول [2]الأقساط!$E:$E,MATCH(J67,جدول [2]الأقساط!$A:$A,0)), E67), "⚠️ تحصيل أكبر من قيمة القسط", "سليم"), "سليم")</f>
        <v>سليم</v>
      </c>
    </row>
    <row r="68" spans="3:12" x14ac:dyDescent="0.25">
      <c r="C68" t="str">
        <f>IF(I68="","",IFERROR(INDEX(المبيعات!$C:$C,MATCH(I68,المبيعات!$A:$A,0)),""))</f>
        <v/>
      </c>
      <c r="L68" t="str">
        <f>IF(AND(J68&lt;&gt;"", E68&lt;&gt;""), IF(E68 &gt; IFERROR(INDEX(جدول [2]الأقساط!$E:$E,MATCH(J68,جدول [2]الأقساط!$A:$A,0)), E68), "⚠️ تحصيل أكبر من قيمة القسط", "سليم"), "سليم")</f>
        <v>سليم</v>
      </c>
    </row>
    <row r="69" spans="3:12" x14ac:dyDescent="0.25">
      <c r="C69" t="str">
        <f>IF(I69="","",IFERROR(INDEX(المبيعات!$C:$C,MATCH(I69,المبيعات!$A:$A,0)),""))</f>
        <v/>
      </c>
      <c r="L69" t="str">
        <f>IF(AND(J69&lt;&gt;"", E69&lt;&gt;""), IF(E69 &gt; IFERROR(INDEX(جدول [2]الأقساط!$E:$E,MATCH(J69,جدول [2]الأقساط!$A:$A,0)), E69), "⚠️ تحصيل أكبر من قيمة القسط", "سليم"), "سليم")</f>
        <v>سليم</v>
      </c>
    </row>
    <row r="70" spans="3:12" x14ac:dyDescent="0.25">
      <c r="C70" t="str">
        <f>IF(I70="","",IFERROR(INDEX(المبيعات!$C:$C,MATCH(I70,المبيعات!$A:$A,0)),""))</f>
        <v/>
      </c>
      <c r="L70" t="str">
        <f>IF(AND(J70&lt;&gt;"", E70&lt;&gt;""), IF(E70 &gt; IFERROR(INDEX(جدول [2]الأقساط!$E:$E,MATCH(J70,جدول [2]الأقساط!$A:$A,0)), E70), "⚠️ تحصيل أكبر من قيمة القسط", "سليم"), "سليم")</f>
        <v>سليم</v>
      </c>
    </row>
    <row r="71" spans="3:12" x14ac:dyDescent="0.25">
      <c r="C71" t="str">
        <f>IF(I71="","",IFERROR(INDEX(المبيعات!$C:$C,MATCH(I71,المبيعات!$A:$A,0)),""))</f>
        <v/>
      </c>
      <c r="L71" t="str">
        <f>IF(AND(J71&lt;&gt;"", E71&lt;&gt;""), IF(E71 &gt; IFERROR(INDEX(جدول [2]الأقساط!$E:$E,MATCH(J71,جدول [2]الأقساط!$A:$A,0)), E71), "⚠️ تحصيل أكبر من قيمة القسط", "سليم"), "سليم")</f>
        <v>سليم</v>
      </c>
    </row>
    <row r="72" spans="3:12" x14ac:dyDescent="0.25">
      <c r="C72" t="str">
        <f>IF(I72="","",IFERROR(INDEX(المبيعات!$C:$C,MATCH(I72,المبيعات!$A:$A,0)),""))</f>
        <v/>
      </c>
      <c r="L72" t="str">
        <f>IF(AND(J72&lt;&gt;"", E72&lt;&gt;""), IF(E72 &gt; IFERROR(INDEX(جدول [2]الأقساط!$E:$E,MATCH(J72,جدول [2]الأقساط!$A:$A,0)), E72), "⚠️ تحصيل أكبر من قيمة القسط", "سليم"), "سليم")</f>
        <v>سليم</v>
      </c>
    </row>
    <row r="73" spans="3:12" x14ac:dyDescent="0.25">
      <c r="C73" t="str">
        <f>IF(I73="","",IFERROR(INDEX(المبيعات!$C:$C,MATCH(I73,المبيعات!$A:$A,0)),""))</f>
        <v/>
      </c>
      <c r="L73" t="str">
        <f>IF(AND(J73&lt;&gt;"", E73&lt;&gt;""), IF(E73 &gt; IFERROR(INDEX(جدول [2]الأقساط!$E:$E,MATCH(J73,جدول [2]الأقساط!$A:$A,0)), E73), "⚠️ تحصيل أكبر من قيمة القسط", "سليم"), "سليم")</f>
        <v>سليم</v>
      </c>
    </row>
    <row r="74" spans="3:12" x14ac:dyDescent="0.25">
      <c r="C74" t="str">
        <f>IF(I74="","",IFERROR(INDEX(المبيعات!$C:$C,MATCH(I74,المبيعات!$A:$A,0)),""))</f>
        <v/>
      </c>
      <c r="L74" t="str">
        <f>IF(AND(J74&lt;&gt;"", E74&lt;&gt;""), IF(E74 &gt; IFERROR(INDEX(جدول [2]الأقساط!$E:$E,MATCH(J74,جدول [2]الأقساط!$A:$A,0)), E74), "⚠️ تحصيل أكبر من قيمة القسط", "سليم"), "سليم")</f>
        <v>سليم</v>
      </c>
    </row>
    <row r="75" spans="3:12" x14ac:dyDescent="0.25">
      <c r="C75" t="str">
        <f>IF(I75="","",IFERROR(INDEX(المبيعات!$C:$C,MATCH(I75,المبيعات!$A:$A,0)),""))</f>
        <v/>
      </c>
      <c r="L75" t="str">
        <f>IF(AND(J75&lt;&gt;"", E75&lt;&gt;""), IF(E75 &gt; IFERROR(INDEX(جدول [2]الأقساط!$E:$E,MATCH(J75,جدول [2]الأقساط!$A:$A,0)), E75), "⚠️ تحصيل أكبر من قيمة القسط", "سليم"), "سليم")</f>
        <v>سليم</v>
      </c>
    </row>
    <row r="76" spans="3:12" x14ac:dyDescent="0.25">
      <c r="C76" t="str">
        <f>IF(I76="","",IFERROR(INDEX(المبيعات!$C:$C,MATCH(I76,المبيعات!$A:$A,0)),""))</f>
        <v/>
      </c>
      <c r="L76" t="str">
        <f>IF(AND(J76&lt;&gt;"", E76&lt;&gt;""), IF(E76 &gt; IFERROR(INDEX(جدول [2]الأقساط!$E:$E,MATCH(J76,جدول [2]الأقساط!$A:$A,0)), E76), "⚠️ تحصيل أكبر من قيمة القسط", "سليم"), "سليم")</f>
        <v>سليم</v>
      </c>
    </row>
    <row r="77" spans="3:12" x14ac:dyDescent="0.25">
      <c r="C77" t="str">
        <f>IF(I77="","",IFERROR(INDEX(المبيعات!$C:$C,MATCH(I77,المبيعات!$A:$A,0)),""))</f>
        <v/>
      </c>
      <c r="L77" t="str">
        <f>IF(AND(J77&lt;&gt;"", E77&lt;&gt;""), IF(E77 &gt; IFERROR(INDEX(جدول [2]الأقساط!$E:$E,MATCH(J77,جدول [2]الأقساط!$A:$A,0)), E77), "⚠️ تحصيل أكبر من قيمة القسط", "سليم"), "سليم")</f>
        <v>سليم</v>
      </c>
    </row>
    <row r="78" spans="3:12" x14ac:dyDescent="0.25">
      <c r="C78" t="str">
        <f>IF(I78="","",IFERROR(INDEX(المبيعات!$C:$C,MATCH(I78,المبيعات!$A:$A,0)),""))</f>
        <v/>
      </c>
      <c r="L78" t="str">
        <f>IF(AND(J78&lt;&gt;"", E78&lt;&gt;""), IF(E78 &gt; IFERROR(INDEX(جدول [2]الأقساط!$E:$E,MATCH(J78,جدول [2]الأقساط!$A:$A,0)), E78), "⚠️ تحصيل أكبر من قيمة القسط", "سليم"), "سليم")</f>
        <v>سليم</v>
      </c>
    </row>
    <row r="79" spans="3:12" x14ac:dyDescent="0.25">
      <c r="C79" t="str">
        <f>IF(I79="","",IFERROR(INDEX(المبيعات!$C:$C,MATCH(I79,المبيعات!$A:$A,0)),""))</f>
        <v/>
      </c>
      <c r="L79" t="str">
        <f>IF(AND(J79&lt;&gt;"", E79&lt;&gt;""), IF(E79 &gt; IFERROR(INDEX(جدول [2]الأقساط!$E:$E,MATCH(J79,جدول [2]الأقساط!$A:$A,0)), E79), "⚠️ تحصيل أكبر من قيمة القسط", "سليم"), "سليم")</f>
        <v>سليم</v>
      </c>
    </row>
    <row r="80" spans="3:12" x14ac:dyDescent="0.25">
      <c r="C80" t="str">
        <f>IF(I80="","",IFERROR(INDEX(المبيعات!$C:$C,MATCH(I80,المبيعات!$A:$A,0)),""))</f>
        <v/>
      </c>
      <c r="L80" t="str">
        <f>IF(AND(J80&lt;&gt;"", E80&lt;&gt;""), IF(E80 &gt; IFERROR(INDEX(جدول [2]الأقساط!$E:$E,MATCH(J80,جدول [2]الأقساط!$A:$A,0)), E80), "⚠️ تحصيل أكبر من قيمة القسط", "سليم"), "سليم")</f>
        <v>سليم</v>
      </c>
    </row>
    <row r="81" spans="3:12" x14ac:dyDescent="0.25">
      <c r="C81" t="str">
        <f>IF(I81="","",IFERROR(INDEX(المبيعات!$C:$C,MATCH(I81,المبيعات!$A:$A,0)),""))</f>
        <v/>
      </c>
      <c r="L81" t="str">
        <f>IF(AND(J81&lt;&gt;"", E81&lt;&gt;""), IF(E81 &gt; IFERROR(INDEX(جدول [2]الأقساط!$E:$E,MATCH(J81,جدول [2]الأقساط!$A:$A,0)), E81), "⚠️ تحصيل أكبر من قيمة القسط", "سليم"), "سليم")</f>
        <v>سليم</v>
      </c>
    </row>
    <row r="82" spans="3:12" x14ac:dyDescent="0.25">
      <c r="C82" t="str">
        <f>IF(I82="","",IFERROR(INDEX(المبيعات!$C:$C,MATCH(I82,المبيعات!$A:$A,0)),""))</f>
        <v/>
      </c>
      <c r="L82" t="str">
        <f>IF(AND(J82&lt;&gt;"", E82&lt;&gt;""), IF(E82 &gt; IFERROR(INDEX(جدول [2]الأقساط!$E:$E,MATCH(J82,جدول [2]الأقساط!$A:$A,0)), E82), "⚠️ تحصيل أكبر من قيمة القسط", "سليم"), "سليم")</f>
        <v>سليم</v>
      </c>
    </row>
    <row r="83" spans="3:12" x14ac:dyDescent="0.25">
      <c r="C83" t="str">
        <f>IF(I83="","",IFERROR(INDEX(المبيعات!$C:$C,MATCH(I83,المبيعات!$A:$A,0)),""))</f>
        <v/>
      </c>
      <c r="L83" t="str">
        <f>IF(AND(J83&lt;&gt;"", E83&lt;&gt;""), IF(E83 &gt; IFERROR(INDEX(جدول [2]الأقساط!$E:$E,MATCH(J83,جدول [2]الأقساط!$A:$A,0)), E83), "⚠️ تحصيل أكبر من قيمة القسط", "سليم"), "سليم")</f>
        <v>سليم</v>
      </c>
    </row>
    <row r="84" spans="3:12" x14ac:dyDescent="0.25">
      <c r="C84" t="str">
        <f>IF(I84="","",IFERROR(INDEX(المبيعات!$C:$C,MATCH(I84,المبيعات!$A:$A,0)),""))</f>
        <v/>
      </c>
      <c r="L84" t="str">
        <f>IF(AND(J84&lt;&gt;"", E84&lt;&gt;""), IF(E84 &gt; IFERROR(INDEX(جدول [2]الأقساط!$E:$E,MATCH(J84,جدول [2]الأقساط!$A:$A,0)), E84), "⚠️ تحصيل أكبر من قيمة القسط", "سليم"), "سليم")</f>
        <v>سليم</v>
      </c>
    </row>
    <row r="85" spans="3:12" x14ac:dyDescent="0.25">
      <c r="C85" t="str">
        <f>IF(I85="","",IFERROR(INDEX(المبيعات!$C:$C,MATCH(I85,المبيعات!$A:$A,0)),""))</f>
        <v/>
      </c>
      <c r="L85" t="str">
        <f>IF(AND(J85&lt;&gt;"", E85&lt;&gt;""), IF(E85 &gt; IFERROR(INDEX(جدول [2]الأقساط!$E:$E,MATCH(J85,جدول [2]الأقساط!$A:$A,0)), E85), "⚠️ تحصيل أكبر من قيمة القسط", "سليم"), "سليم")</f>
        <v>سليم</v>
      </c>
    </row>
    <row r="86" spans="3:12" x14ac:dyDescent="0.25">
      <c r="C86" t="str">
        <f>IF(I86="","",IFERROR(INDEX(المبيعات!$C:$C,MATCH(I86,المبيعات!$A:$A,0)),""))</f>
        <v/>
      </c>
      <c r="L86" t="str">
        <f>IF(AND(J86&lt;&gt;"", E86&lt;&gt;""), IF(E86 &gt; IFERROR(INDEX(جدول [2]الأقساط!$E:$E,MATCH(J86,جدول [2]الأقساط!$A:$A,0)), E86), "⚠️ تحصيل أكبر من قيمة القسط", "سليم"), "سليم")</f>
        <v>سليم</v>
      </c>
    </row>
    <row r="87" spans="3:12" x14ac:dyDescent="0.25">
      <c r="C87" t="str">
        <f>IF(I87="","",IFERROR(INDEX(المبيعات!$C:$C,MATCH(I87,المبيعات!$A:$A,0)),""))</f>
        <v/>
      </c>
      <c r="L87" t="str">
        <f>IF(AND(J87&lt;&gt;"", E87&lt;&gt;""), IF(E87 &gt; IFERROR(INDEX(جدول [2]الأقساط!$E:$E,MATCH(J87,جدول [2]الأقساط!$A:$A,0)), E87), "⚠️ تحصيل أكبر من قيمة القسط", "سليم"), "سليم")</f>
        <v>سليم</v>
      </c>
    </row>
    <row r="88" spans="3:12" x14ac:dyDescent="0.25">
      <c r="C88" t="str">
        <f>IF(I88="","",IFERROR(INDEX(المبيعات!$C:$C,MATCH(I88,المبيعات!$A:$A,0)),""))</f>
        <v/>
      </c>
      <c r="L88" t="str">
        <f>IF(AND(J88&lt;&gt;"", E88&lt;&gt;""), IF(E88 &gt; IFERROR(INDEX(جدول [2]الأقساط!$E:$E,MATCH(J88,جدول [2]الأقساط!$A:$A,0)), E88), "⚠️ تحصيل أكبر من قيمة القسط", "سليم"), "سليم")</f>
        <v>سليم</v>
      </c>
    </row>
    <row r="89" spans="3:12" x14ac:dyDescent="0.25">
      <c r="C89" t="str">
        <f>IF(I89="","",IFERROR(INDEX(المبيعات!$C:$C,MATCH(I89,المبيعات!$A:$A,0)),""))</f>
        <v/>
      </c>
      <c r="L89" t="str">
        <f>IF(AND(J89&lt;&gt;"", E89&lt;&gt;""), IF(E89 &gt; IFERROR(INDEX(جدول [2]الأقساط!$E:$E,MATCH(J89,جدول [2]الأقساط!$A:$A,0)), E89), "⚠️ تحصيل أكبر من قيمة القسط", "سليم"), "سليم")</f>
        <v>سليم</v>
      </c>
    </row>
    <row r="90" spans="3:12" x14ac:dyDescent="0.25">
      <c r="C90" t="str">
        <f>IF(I90="","",IFERROR(INDEX(المبيعات!$C:$C,MATCH(I90,المبيعات!$A:$A,0)),""))</f>
        <v/>
      </c>
      <c r="L90" t="str">
        <f>IF(AND(J90&lt;&gt;"", E90&lt;&gt;""), IF(E90 &gt; IFERROR(INDEX(جدول [2]الأقساط!$E:$E,MATCH(J90,جدول [2]الأقساط!$A:$A,0)), E90), "⚠️ تحصيل أكبر من قيمة القسط", "سليم"), "سليم")</f>
        <v>سليم</v>
      </c>
    </row>
    <row r="91" spans="3:12" x14ac:dyDescent="0.25">
      <c r="C91" t="str">
        <f>IF(I91="","",IFERROR(INDEX(المبيعات!$C:$C,MATCH(I91,المبيعات!$A:$A,0)),""))</f>
        <v/>
      </c>
      <c r="L91" t="str">
        <f>IF(AND(J91&lt;&gt;"", E91&lt;&gt;""), IF(E91 &gt; IFERROR(INDEX(جدول [2]الأقساط!$E:$E,MATCH(J91,جدول [2]الأقساط!$A:$A,0)), E91), "⚠️ تحصيل أكبر من قيمة القسط", "سليم"), "سليم")</f>
        <v>سليم</v>
      </c>
    </row>
    <row r="92" spans="3:12" x14ac:dyDescent="0.25">
      <c r="C92" t="str">
        <f>IF(I92="","",IFERROR(INDEX(المبيعات!$C:$C,MATCH(I92,المبيعات!$A:$A,0)),""))</f>
        <v/>
      </c>
      <c r="L92" t="str">
        <f>IF(AND(J92&lt;&gt;"", E92&lt;&gt;""), IF(E92 &gt; IFERROR(INDEX(جدول [2]الأقساط!$E:$E,MATCH(J92,جدول [2]الأقساط!$A:$A,0)), E92), "⚠️ تحصيل أكبر من قيمة القسط", "سليم"), "سليم")</f>
        <v>سليم</v>
      </c>
    </row>
    <row r="93" spans="3:12" x14ac:dyDescent="0.25">
      <c r="C93" t="str">
        <f>IF(I93="","",IFERROR(INDEX(المبيعات!$C:$C,MATCH(I93,المبيعات!$A:$A,0)),""))</f>
        <v/>
      </c>
      <c r="L93" t="str">
        <f>IF(AND(J93&lt;&gt;"", E93&lt;&gt;""), IF(E93 &gt; IFERROR(INDEX(جدول [2]الأقساط!$E:$E,MATCH(J93,جدول [2]الأقساط!$A:$A,0)), E93), "⚠️ تحصيل أكبر من قيمة القسط", "سليم"), "سليم")</f>
        <v>سليم</v>
      </c>
    </row>
    <row r="94" spans="3:12" x14ac:dyDescent="0.25">
      <c r="C94" t="str">
        <f>IF(I94="","",IFERROR(INDEX(المبيعات!$C:$C,MATCH(I94,المبيعات!$A:$A,0)),""))</f>
        <v/>
      </c>
      <c r="L94" t="str">
        <f>IF(AND(J94&lt;&gt;"", E94&lt;&gt;""), IF(E94 &gt; IFERROR(INDEX(جدول [2]الأقساط!$E:$E,MATCH(J94,جدول [2]الأقساط!$A:$A,0)), E94), "⚠️ تحصيل أكبر من قيمة القسط", "سليم"), "سليم")</f>
        <v>سليم</v>
      </c>
    </row>
    <row r="95" spans="3:12" x14ac:dyDescent="0.25">
      <c r="C95" t="str">
        <f>IF(I95="","",IFERROR(INDEX(المبيعات!$C:$C,MATCH(I95,المبيعات!$A:$A,0)),""))</f>
        <v/>
      </c>
      <c r="L95" t="str">
        <f>IF(AND(J95&lt;&gt;"", E95&lt;&gt;""), IF(E95 &gt; IFERROR(INDEX(جدول [2]الأقساط!$E:$E,MATCH(J95,جدول [2]الأقساط!$A:$A,0)), E95), "⚠️ تحصيل أكبر من قيمة القسط", "سليم"), "سليم")</f>
        <v>سليم</v>
      </c>
    </row>
    <row r="96" spans="3:12" x14ac:dyDescent="0.25">
      <c r="C96" t="str">
        <f>IF(I96="","",IFERROR(INDEX(المبيعات!$C:$C,MATCH(I96,المبيعات!$A:$A,0)),""))</f>
        <v/>
      </c>
      <c r="L96" t="str">
        <f>IF(AND(J96&lt;&gt;"", E96&lt;&gt;""), IF(E96 &gt; IFERROR(INDEX(جدول [2]الأقساط!$E:$E,MATCH(J96,جدول [2]الأقساط!$A:$A,0)), E96), "⚠️ تحصيل أكبر من قيمة القسط", "سليم"), "سليم")</f>
        <v>سليم</v>
      </c>
    </row>
    <row r="97" spans="3:12" x14ac:dyDescent="0.25">
      <c r="C97" t="str">
        <f>IF(I97="","",IFERROR(INDEX(المبيعات!$C:$C,MATCH(I97,المبيعات!$A:$A,0)),""))</f>
        <v/>
      </c>
      <c r="L97" t="str">
        <f>IF(AND(J97&lt;&gt;"", E97&lt;&gt;""), IF(E97 &gt; IFERROR(INDEX(جدول [2]الأقساط!$E:$E,MATCH(J97,جدول [2]الأقساط!$A:$A,0)), E97), "⚠️ تحصيل أكبر من قيمة القسط", "سليم"), "سليم")</f>
        <v>سليم</v>
      </c>
    </row>
    <row r="98" spans="3:12" x14ac:dyDescent="0.25">
      <c r="C98" t="str">
        <f>IF(I98="","",IFERROR(INDEX(المبيعات!$C:$C,MATCH(I98,المبيعات!$A:$A,0)),""))</f>
        <v/>
      </c>
      <c r="L98" t="str">
        <f>IF(AND(J98&lt;&gt;"", E98&lt;&gt;""), IF(E98 &gt; IFERROR(INDEX(جدول [2]الأقساط!$E:$E,MATCH(J98,جدول [2]الأقساط!$A:$A,0)), E98), "⚠️ تحصيل أكبر من قيمة القسط", "سليم"), "سليم")</f>
        <v>سليم</v>
      </c>
    </row>
    <row r="99" spans="3:12" x14ac:dyDescent="0.25">
      <c r="C99" t="str">
        <f>IF(I99="","",IFERROR(INDEX(المبيعات!$C:$C,MATCH(I99,المبيعات!$A:$A,0)),""))</f>
        <v/>
      </c>
      <c r="L99" t="str">
        <f>IF(AND(J99&lt;&gt;"", E99&lt;&gt;""), IF(E99 &gt; IFERROR(INDEX(جدول [2]الأقساط!$E:$E,MATCH(J99,جدول [2]الأقساط!$A:$A,0)), E99), "⚠️ تحصيل أكبر من قيمة القسط", "سليم"), "سليم")</f>
        <v>سليم</v>
      </c>
    </row>
    <row r="100" spans="3:12" x14ac:dyDescent="0.25">
      <c r="C100" t="str">
        <f>IF(I100="","",IFERROR(INDEX(المبيعات!$C:$C,MATCH(I100,المبيعات!$A:$A,0)),""))</f>
        <v/>
      </c>
      <c r="L100" t="str">
        <f>IF(AND(J100&lt;&gt;"", E100&lt;&gt;""), IF(E100 &gt; IFERROR(INDEX(جدول [2]الأقساط!$E:$E,MATCH(J100,جدول [2]الأقساط!$A:$A,0)), E100), "⚠️ تحصيل أكبر من قيمة القسط", "سليم"), "سليم")</f>
        <v>سليم</v>
      </c>
    </row>
    <row r="101" spans="3:12" x14ac:dyDescent="0.25">
      <c r="C101" t="str">
        <f>IF(I101="","",IFERROR(INDEX(المبيعات!$C:$C,MATCH(I101,المبيعات!$A:$A,0)),""))</f>
        <v/>
      </c>
      <c r="L101" t="str">
        <f>IF(AND(J101&lt;&gt;"", E101&lt;&gt;""), IF(E101 &gt; IFERROR(INDEX(جدول [2]الأقساط!$E:$E,MATCH(J101,جدول [2]الأقساط!$A:$A,0)), E101), "⚠️ تحصيل أكبر من قيمة القسط", "سليم"), "سليم")</f>
        <v>سليم</v>
      </c>
    </row>
    <row r="102" spans="3:12" x14ac:dyDescent="0.25">
      <c r="C102" t="str">
        <f>IF(I102="","",IFERROR(INDEX(المبيعات!$C:$C,MATCH(I102,المبيعات!$A:$A,0)),""))</f>
        <v/>
      </c>
      <c r="L102" t="str">
        <f>IF(AND(J102&lt;&gt;"", E102&lt;&gt;""), IF(E102 &gt; IFERROR(INDEX(جدول [2]الأقساط!$E:$E,MATCH(J102,جدول [2]الأقساط!$A:$A,0)), E102), "⚠️ تحصيل أكبر من قيمة القسط", "سليم"), "سليم")</f>
        <v>سليم</v>
      </c>
    </row>
    <row r="103" spans="3:12" x14ac:dyDescent="0.25">
      <c r="C103" t="str">
        <f>IF(I103="","",IFERROR(INDEX(المبيعات!$C:$C,MATCH(I103,المبيعات!$A:$A,0)),""))</f>
        <v/>
      </c>
      <c r="L103" t="str">
        <f>IF(AND(J103&lt;&gt;"", E103&lt;&gt;""), IF(E103 &gt; IFERROR(INDEX(جدول [2]الأقساط!$E:$E,MATCH(J103,جدول [2]الأقساط!$A:$A,0)), E103), "⚠️ تحصيل أكبر من قيمة القسط", "سليم"), "سليم")</f>
        <v>سليم</v>
      </c>
    </row>
    <row r="104" spans="3:12" x14ac:dyDescent="0.25">
      <c r="C104" t="str">
        <f>IF(I104="","",IFERROR(INDEX(المبيعات!$C:$C,MATCH(I104,المبيعات!$A:$A,0)),""))</f>
        <v/>
      </c>
      <c r="L104" t="str">
        <f>IF(AND(J104&lt;&gt;"", E104&lt;&gt;""), IF(E104 &gt; IFERROR(INDEX(جدول [2]الأقساط!$E:$E,MATCH(J104,جدول [2]الأقساط!$A:$A,0)), E104), "⚠️ تحصيل أكبر من قيمة القسط", "سليم"), "سليم")</f>
        <v>سليم</v>
      </c>
    </row>
    <row r="105" spans="3:12" x14ac:dyDescent="0.25">
      <c r="C105" t="str">
        <f>IF(I105="","",IFERROR(INDEX(المبيعات!$C:$C,MATCH(I105,المبيعات!$A:$A,0)),""))</f>
        <v/>
      </c>
      <c r="L105" t="str">
        <f>IF(AND(J105&lt;&gt;"", E105&lt;&gt;""), IF(E105 &gt; IFERROR(INDEX(جدول [2]الأقساط!$E:$E,MATCH(J105,جدول [2]الأقساط!$A:$A,0)), E105), "⚠️ تحصيل أكبر من قيمة القسط", "سليم"), "سليم")</f>
        <v>سليم</v>
      </c>
    </row>
    <row r="106" spans="3:12" x14ac:dyDescent="0.25">
      <c r="C106" t="str">
        <f>IF(I106="","",IFERROR(INDEX(المبيعات!$C:$C,MATCH(I106,المبيعات!$A:$A,0)),""))</f>
        <v/>
      </c>
      <c r="L106" t="str">
        <f>IF(AND(J106&lt;&gt;"", E106&lt;&gt;""), IF(E106 &gt; IFERROR(INDEX(جدول [2]الأقساط!$E:$E,MATCH(J106,جدول [2]الأقساط!$A:$A,0)), E106), "⚠️ تحصيل أكبر من قيمة القسط", "سليم"), "سليم")</f>
        <v>سليم</v>
      </c>
    </row>
    <row r="107" spans="3:12" x14ac:dyDescent="0.25">
      <c r="C107" t="str">
        <f>IF(I107="","",IFERROR(INDEX(المبيعات!$C:$C,MATCH(I107,المبيعات!$A:$A,0)),""))</f>
        <v/>
      </c>
      <c r="L107" t="str">
        <f>IF(AND(J107&lt;&gt;"", E107&lt;&gt;""), IF(E107 &gt; IFERROR(INDEX(جدول [2]الأقساط!$E:$E,MATCH(J107,جدول [2]الأقساط!$A:$A,0)), E107), "⚠️ تحصيل أكبر من قيمة القسط", "سليم"), "سليم")</f>
        <v>سليم</v>
      </c>
    </row>
    <row r="108" spans="3:12" x14ac:dyDescent="0.25">
      <c r="C108" t="str">
        <f>IF(I108="","",IFERROR(INDEX(المبيعات!$C:$C,MATCH(I108,المبيعات!$A:$A,0)),""))</f>
        <v/>
      </c>
      <c r="L108" t="str">
        <f>IF(AND(J108&lt;&gt;"", E108&lt;&gt;""), IF(E108 &gt; IFERROR(INDEX(جدول [2]الأقساط!$E:$E,MATCH(J108,جدول [2]الأقساط!$A:$A,0)), E108), "⚠️ تحصيل أكبر من قيمة القسط", "سليم"), "سليم")</f>
        <v>سليم</v>
      </c>
    </row>
    <row r="109" spans="3:12" x14ac:dyDescent="0.25">
      <c r="C109" t="str">
        <f>IF(I109="","",IFERROR(INDEX(المبيعات!$C:$C,MATCH(I109,المبيعات!$A:$A,0)),""))</f>
        <v/>
      </c>
      <c r="L109" t="str">
        <f>IF(AND(J109&lt;&gt;"", E109&lt;&gt;""), IF(E109 &gt; IFERROR(INDEX(جدول [2]الأقساط!$E:$E,MATCH(J109,جدول [2]الأقساط!$A:$A,0)), E109), "⚠️ تحصيل أكبر من قيمة القسط", "سليم"), "سليم")</f>
        <v>سليم</v>
      </c>
    </row>
    <row r="110" spans="3:12" x14ac:dyDescent="0.25">
      <c r="C110" t="str">
        <f>IF(I110="","",IFERROR(INDEX(المبيعات!$C:$C,MATCH(I110,المبيعات!$A:$A,0)),""))</f>
        <v/>
      </c>
      <c r="L110" t="str">
        <f>IF(AND(J110&lt;&gt;"", E110&lt;&gt;""), IF(E110 &gt; IFERROR(INDEX(جدول [2]الأقساط!$E:$E,MATCH(J110,جدول [2]الأقساط!$A:$A,0)), E110), "⚠️ تحصيل أكبر من قيمة القسط", "سليم"), "سليم")</f>
        <v>سليم</v>
      </c>
    </row>
    <row r="111" spans="3:12" x14ac:dyDescent="0.25">
      <c r="C111" t="str">
        <f>IF(I111="","",IFERROR(INDEX(المبيعات!$C:$C,MATCH(I111,المبيعات!$A:$A,0)),""))</f>
        <v/>
      </c>
      <c r="L111" t="str">
        <f>IF(AND(J111&lt;&gt;"", E111&lt;&gt;""), IF(E111 &gt; IFERROR(INDEX(جدول [2]الأقساط!$E:$E,MATCH(J111,جدول [2]الأقساط!$A:$A,0)), E111), "⚠️ تحصيل أكبر من قيمة القسط", "سليم"), "سليم")</f>
        <v>سليم</v>
      </c>
    </row>
    <row r="112" spans="3:12" x14ac:dyDescent="0.25">
      <c r="C112" t="str">
        <f>IF(I112="","",IFERROR(INDEX(المبيعات!$C:$C,MATCH(I112,المبيعات!$A:$A,0)),""))</f>
        <v/>
      </c>
      <c r="L112" t="str">
        <f>IF(AND(J112&lt;&gt;"", E112&lt;&gt;""), IF(E112 &gt; IFERROR(INDEX(جدول [2]الأقساط!$E:$E,MATCH(J112,جدول [2]الأقساط!$A:$A,0)), E112), "⚠️ تحصيل أكبر من قيمة القسط", "سليم"), "سليم")</f>
        <v>سليم</v>
      </c>
    </row>
    <row r="113" spans="3:12" x14ac:dyDescent="0.25">
      <c r="C113" t="str">
        <f>IF(I113="","",IFERROR(INDEX(المبيعات!$C:$C,MATCH(I113,المبيعات!$A:$A,0)),""))</f>
        <v/>
      </c>
      <c r="L113" t="str">
        <f>IF(AND(J113&lt;&gt;"", E113&lt;&gt;""), IF(E113 &gt; IFERROR(INDEX(جدول [2]الأقساط!$E:$E,MATCH(J113,جدول [2]الأقساط!$A:$A,0)), E113), "⚠️ تحصيل أكبر من قيمة القسط", "سليم"), "سليم")</f>
        <v>سليم</v>
      </c>
    </row>
    <row r="114" spans="3:12" x14ac:dyDescent="0.25">
      <c r="C114" t="str">
        <f>IF(I114="","",IFERROR(INDEX(المبيعات!$C:$C,MATCH(I114,المبيعات!$A:$A,0)),""))</f>
        <v/>
      </c>
      <c r="L114" t="str">
        <f>IF(AND(J114&lt;&gt;"", E114&lt;&gt;""), IF(E114 &gt; IFERROR(INDEX(جدول [2]الأقساط!$E:$E,MATCH(J114,جدول [2]الأقساط!$A:$A,0)), E114), "⚠️ تحصيل أكبر من قيمة القسط", "سليم"), "سليم")</f>
        <v>سليم</v>
      </c>
    </row>
    <row r="115" spans="3:12" x14ac:dyDescent="0.25">
      <c r="C115" t="str">
        <f>IF(I115="","",IFERROR(INDEX(المبيعات!$C:$C,MATCH(I115,المبيعات!$A:$A,0)),""))</f>
        <v/>
      </c>
      <c r="L115" t="str">
        <f>IF(AND(J115&lt;&gt;"", E115&lt;&gt;""), IF(E115 &gt; IFERROR(INDEX(جدول [2]الأقساط!$E:$E,MATCH(J115,جدول [2]الأقساط!$A:$A,0)), E115), "⚠️ تحصيل أكبر من قيمة القسط", "سليم"), "سليم")</f>
        <v>سليم</v>
      </c>
    </row>
    <row r="116" spans="3:12" x14ac:dyDescent="0.25">
      <c r="C116" t="str">
        <f>IF(I116="","",IFERROR(INDEX(المبيعات!$C:$C,MATCH(I116,المبيعات!$A:$A,0)),""))</f>
        <v/>
      </c>
      <c r="L116" t="str">
        <f>IF(AND(J116&lt;&gt;"", E116&lt;&gt;""), IF(E116 &gt; IFERROR(INDEX(جدول [2]الأقساط!$E:$E,MATCH(J116,جدول [2]الأقساط!$A:$A,0)), E116), "⚠️ تحصيل أكبر من قيمة القسط", "سليم"), "سليم")</f>
        <v>سليم</v>
      </c>
    </row>
    <row r="117" spans="3:12" x14ac:dyDescent="0.25">
      <c r="C117" t="str">
        <f>IF(I117="","",IFERROR(INDEX(المبيعات!$C:$C,MATCH(I117,المبيعات!$A:$A,0)),""))</f>
        <v/>
      </c>
      <c r="L117" t="str">
        <f>IF(AND(J117&lt;&gt;"", E117&lt;&gt;""), IF(E117 &gt; IFERROR(INDEX(جدول [2]الأقساط!$E:$E,MATCH(J117,جدول [2]الأقساط!$A:$A,0)), E117), "⚠️ تحصيل أكبر من قيمة القسط", "سليم"), "سليم")</f>
        <v>سليم</v>
      </c>
    </row>
    <row r="118" spans="3:12" x14ac:dyDescent="0.25">
      <c r="C118" t="str">
        <f>IF(I118="","",IFERROR(INDEX(المبيعات!$C:$C,MATCH(I118,المبيعات!$A:$A,0)),""))</f>
        <v/>
      </c>
      <c r="L118" t="str">
        <f>IF(AND(J118&lt;&gt;"", E118&lt;&gt;""), IF(E118 &gt; IFERROR(INDEX(جدول [2]الأقساط!$E:$E,MATCH(J118,جدول [2]الأقساط!$A:$A,0)), E118), "⚠️ تحصيل أكبر من قيمة القسط", "سليم"), "سليم")</f>
        <v>سليم</v>
      </c>
    </row>
    <row r="119" spans="3:12" x14ac:dyDescent="0.25">
      <c r="C119" t="str">
        <f>IF(I119="","",IFERROR(INDEX(المبيعات!$C:$C,MATCH(I119,المبيعات!$A:$A,0)),""))</f>
        <v/>
      </c>
      <c r="L119" t="str">
        <f>IF(AND(J119&lt;&gt;"", E119&lt;&gt;""), IF(E119 &gt; IFERROR(INDEX(جدول [2]الأقساط!$E:$E,MATCH(J119,جدول [2]الأقساط!$A:$A,0)), E119), "⚠️ تحصيل أكبر من قيمة القسط", "سليم"), "سليم")</f>
        <v>سليم</v>
      </c>
    </row>
    <row r="120" spans="3:12" x14ac:dyDescent="0.25">
      <c r="C120" t="str">
        <f>IF(I120="","",IFERROR(INDEX(المبيعات!$C:$C,MATCH(I120,المبيعات!$A:$A,0)),""))</f>
        <v/>
      </c>
      <c r="L120" t="str">
        <f>IF(AND(J120&lt;&gt;"", E120&lt;&gt;""), IF(E120 &gt; IFERROR(INDEX(جدول [2]الأقساط!$E:$E,MATCH(J120,جدول [2]الأقساط!$A:$A,0)), E120), "⚠️ تحصيل أكبر من قيمة القسط", "سليم"), "سليم")</f>
        <v>سليم</v>
      </c>
    </row>
    <row r="121" spans="3:12" x14ac:dyDescent="0.25">
      <c r="C121" t="str">
        <f>IF(I121="","",IFERROR(INDEX(المبيعات!$C:$C,MATCH(I121,المبيعات!$A:$A,0)),""))</f>
        <v/>
      </c>
      <c r="L121" t="str">
        <f>IF(AND(J121&lt;&gt;"", E121&lt;&gt;""), IF(E121 &gt; IFERROR(INDEX(جدول [2]الأقساط!$E:$E,MATCH(J121,جدول [2]الأقساط!$A:$A,0)), E121), "⚠️ تحصيل أكبر من قيمة القسط", "سليم"), "سليم")</f>
        <v>سليم</v>
      </c>
    </row>
    <row r="122" spans="3:12" x14ac:dyDescent="0.25">
      <c r="C122" t="str">
        <f>IF(I122="","",IFERROR(INDEX(المبيعات!$C:$C,MATCH(I122,المبيعات!$A:$A,0)),""))</f>
        <v/>
      </c>
      <c r="L122" t="str">
        <f>IF(AND(J122&lt;&gt;"", E122&lt;&gt;""), IF(E122 &gt; IFERROR(INDEX(جدول [2]الأقساط!$E:$E,MATCH(J122,جدول [2]الأقساط!$A:$A,0)), E122), "⚠️ تحصيل أكبر من قيمة القسط", "سليم"), "سليم")</f>
        <v>سليم</v>
      </c>
    </row>
    <row r="123" spans="3:12" x14ac:dyDescent="0.25">
      <c r="C123" t="str">
        <f>IF(I123="","",IFERROR(INDEX(المبيعات!$C:$C,MATCH(I123,المبيعات!$A:$A,0)),""))</f>
        <v/>
      </c>
      <c r="L123" t="str">
        <f>IF(AND(J123&lt;&gt;"", E123&lt;&gt;""), IF(E123 &gt; IFERROR(INDEX(جدول [2]الأقساط!$E:$E,MATCH(J123,جدول [2]الأقساط!$A:$A,0)), E123), "⚠️ تحصيل أكبر من قيمة القسط", "سليم"), "سليم")</f>
        <v>سليم</v>
      </c>
    </row>
    <row r="124" spans="3:12" x14ac:dyDescent="0.25">
      <c r="C124" t="str">
        <f>IF(I124="","",IFERROR(INDEX(المبيعات!$C:$C,MATCH(I124,المبيعات!$A:$A,0)),""))</f>
        <v/>
      </c>
      <c r="L124" t="str">
        <f>IF(AND(J124&lt;&gt;"", E124&lt;&gt;""), IF(E124 &gt; IFERROR(INDEX(جدول [2]الأقساط!$E:$E,MATCH(J124,جدول [2]الأقساط!$A:$A,0)), E124), "⚠️ تحصيل أكبر من قيمة القسط", "سليم"), "سليم")</f>
        <v>سليم</v>
      </c>
    </row>
    <row r="125" spans="3:12" x14ac:dyDescent="0.25">
      <c r="C125" t="str">
        <f>IF(I125="","",IFERROR(INDEX(المبيعات!$C:$C,MATCH(I125,المبيعات!$A:$A,0)),""))</f>
        <v/>
      </c>
      <c r="L125" t="str">
        <f>IF(AND(J125&lt;&gt;"", E125&lt;&gt;""), IF(E125 &gt; IFERROR(INDEX(جدول [2]الأقساط!$E:$E,MATCH(J125,جدول [2]الأقساط!$A:$A,0)), E125), "⚠️ تحصيل أكبر من قيمة القسط", "سليم"), "سليم")</f>
        <v>سليم</v>
      </c>
    </row>
    <row r="126" spans="3:12" x14ac:dyDescent="0.25">
      <c r="C126" t="str">
        <f>IF(I126="","",IFERROR(INDEX(المبيعات!$C:$C,MATCH(I126,المبيعات!$A:$A,0)),""))</f>
        <v/>
      </c>
      <c r="L126" t="str">
        <f>IF(AND(J126&lt;&gt;"", E126&lt;&gt;""), IF(E126 &gt; IFERROR(INDEX(جدول [2]الأقساط!$E:$E,MATCH(J126,جدول [2]الأقساط!$A:$A,0)), E126), "⚠️ تحصيل أكبر من قيمة القسط", "سليم"), "سليم")</f>
        <v>سليم</v>
      </c>
    </row>
    <row r="127" spans="3:12" x14ac:dyDescent="0.25">
      <c r="C127" t="str">
        <f>IF(I127="","",IFERROR(INDEX(المبيعات!$C:$C,MATCH(I127,المبيعات!$A:$A,0)),""))</f>
        <v/>
      </c>
      <c r="L127" t="str">
        <f>IF(AND(J127&lt;&gt;"", E127&lt;&gt;""), IF(E127 &gt; IFERROR(INDEX(جدول [2]الأقساط!$E:$E,MATCH(J127,جدول [2]الأقساط!$A:$A,0)), E127), "⚠️ تحصيل أكبر من قيمة القسط", "سليم"), "سليم")</f>
        <v>سليم</v>
      </c>
    </row>
    <row r="128" spans="3:12" x14ac:dyDescent="0.25">
      <c r="C128" t="str">
        <f>IF(I128="","",IFERROR(INDEX(المبيعات!$C:$C,MATCH(I128,المبيعات!$A:$A,0)),""))</f>
        <v/>
      </c>
      <c r="L128" t="str">
        <f>IF(AND(J128&lt;&gt;"", E128&lt;&gt;""), IF(E128 &gt; IFERROR(INDEX(جدول [2]الأقساط!$E:$E,MATCH(J128,جدول [2]الأقساط!$A:$A,0)), E128), "⚠️ تحصيل أكبر من قيمة القسط", "سليم"), "سليم")</f>
        <v>سليم</v>
      </c>
    </row>
    <row r="129" spans="3:12" x14ac:dyDescent="0.25">
      <c r="C129" t="str">
        <f>IF(I129="","",IFERROR(INDEX(المبيعات!$C:$C,MATCH(I129,المبيعات!$A:$A,0)),""))</f>
        <v/>
      </c>
      <c r="L129" t="str">
        <f>IF(AND(J129&lt;&gt;"", E129&lt;&gt;""), IF(E129 &gt; IFERROR(INDEX(جدول [2]الأقساط!$E:$E,MATCH(J129,جدول [2]الأقساط!$A:$A,0)), E129), "⚠️ تحصيل أكبر من قيمة القسط", "سليم"), "سليم")</f>
        <v>سليم</v>
      </c>
    </row>
    <row r="130" spans="3:12" x14ac:dyDescent="0.25">
      <c r="C130" t="str">
        <f>IF(I130="","",IFERROR(INDEX(المبيعات!$C:$C,MATCH(I130,المبيعات!$A:$A,0)),""))</f>
        <v/>
      </c>
      <c r="L130" t="str">
        <f>IF(AND(J130&lt;&gt;"", E130&lt;&gt;""), IF(E130 &gt; IFERROR(INDEX(جدول [2]الأقساط!$E:$E,MATCH(J130,جدول [2]الأقساط!$A:$A,0)), E130), "⚠️ تحصيل أكبر من قيمة القسط", "سليم"), "سليم")</f>
        <v>سليم</v>
      </c>
    </row>
    <row r="131" spans="3:12" x14ac:dyDescent="0.25">
      <c r="C131" t="str">
        <f>IF(I131="","",IFERROR(INDEX(المبيعات!$C:$C,MATCH(I131,المبيعات!$A:$A,0)),""))</f>
        <v/>
      </c>
      <c r="L131" t="str">
        <f>IF(AND(J131&lt;&gt;"", E131&lt;&gt;""), IF(E131 &gt; IFERROR(INDEX(جدول [2]الأقساط!$E:$E,MATCH(J131,جدول [2]الأقساط!$A:$A,0)), E131), "⚠️ تحصيل أكبر من قيمة القسط", "سليم"), "سليم")</f>
        <v>سليم</v>
      </c>
    </row>
    <row r="132" spans="3:12" x14ac:dyDescent="0.25">
      <c r="C132" t="str">
        <f>IF(I132="","",IFERROR(INDEX(المبيعات!$C:$C,MATCH(I132,المبيعات!$A:$A,0)),""))</f>
        <v/>
      </c>
      <c r="L132" t="str">
        <f>IF(AND(J132&lt;&gt;"", E132&lt;&gt;""), IF(E132 &gt; IFERROR(INDEX(جدول [2]الأقساط!$E:$E,MATCH(J132,جدول [2]الأقساط!$A:$A,0)), E132), "⚠️ تحصيل أكبر من قيمة القسط", "سليم"), "سليم")</f>
        <v>سليم</v>
      </c>
    </row>
    <row r="133" spans="3:12" x14ac:dyDescent="0.25">
      <c r="C133" t="str">
        <f>IF(I133="","",IFERROR(INDEX(المبيعات!$C:$C,MATCH(I133,المبيعات!$A:$A,0)),""))</f>
        <v/>
      </c>
      <c r="L133" t="str">
        <f>IF(AND(J133&lt;&gt;"", E133&lt;&gt;""), IF(E133 &gt; IFERROR(INDEX(جدول [2]الأقساط!$E:$E,MATCH(J133,جدول [2]الأقساط!$A:$A,0)), E133), "⚠️ تحصيل أكبر من قيمة القسط", "سليم"), "سليم")</f>
        <v>سليم</v>
      </c>
    </row>
    <row r="134" spans="3:12" x14ac:dyDescent="0.25">
      <c r="C134" t="str">
        <f>IF(I134="","",IFERROR(INDEX(المبيعات!$C:$C,MATCH(I134,المبيعات!$A:$A,0)),""))</f>
        <v/>
      </c>
      <c r="L134" t="str">
        <f>IF(AND(J134&lt;&gt;"", E134&lt;&gt;""), IF(E134 &gt; IFERROR(INDEX(جدول [2]الأقساط!$E:$E,MATCH(J134,جدول [2]الأقساط!$A:$A,0)), E134), "⚠️ تحصيل أكبر من قيمة القسط", "سليم"), "سليم")</f>
        <v>سليم</v>
      </c>
    </row>
    <row r="135" spans="3:12" x14ac:dyDescent="0.25">
      <c r="C135" t="str">
        <f>IF(I135="","",IFERROR(INDEX(المبيعات!$C:$C,MATCH(I135,المبيعات!$A:$A,0)),""))</f>
        <v/>
      </c>
      <c r="L135" t="str">
        <f>IF(AND(J135&lt;&gt;"", E135&lt;&gt;""), IF(E135 &gt; IFERROR(INDEX(جدول [2]الأقساط!$E:$E,MATCH(J135,جدول [2]الأقساط!$A:$A,0)), E135), "⚠️ تحصيل أكبر من قيمة القسط", "سليم"), "سليم")</f>
        <v>سليم</v>
      </c>
    </row>
    <row r="136" spans="3:12" x14ac:dyDescent="0.25">
      <c r="C136" t="str">
        <f>IF(I136="","",IFERROR(INDEX(المبيعات!$C:$C,MATCH(I136,المبيعات!$A:$A,0)),""))</f>
        <v/>
      </c>
      <c r="L136" t="str">
        <f>IF(AND(J136&lt;&gt;"", E136&lt;&gt;""), IF(E136 &gt; IFERROR(INDEX(جدول [2]الأقساط!$E:$E,MATCH(J136,جدول [2]الأقساط!$A:$A,0)), E136), "⚠️ تحصيل أكبر من قيمة القسط", "سليم"), "سليم")</f>
        <v>سليم</v>
      </c>
    </row>
    <row r="137" spans="3:12" x14ac:dyDescent="0.25">
      <c r="C137" t="str">
        <f>IF(I137="","",IFERROR(INDEX(المبيعات!$C:$C,MATCH(I137,المبيعات!$A:$A,0)),""))</f>
        <v/>
      </c>
      <c r="L137" t="str">
        <f>IF(AND(J137&lt;&gt;"", E137&lt;&gt;""), IF(E137 &gt; IFERROR(INDEX(جدول [2]الأقساط!$E:$E,MATCH(J137,جدول [2]الأقساط!$A:$A,0)), E137), "⚠️ تحصيل أكبر من قيمة القسط", "سليم"), "سليم")</f>
        <v>سليم</v>
      </c>
    </row>
    <row r="138" spans="3:12" x14ac:dyDescent="0.25">
      <c r="C138" t="str">
        <f>IF(I138="","",IFERROR(INDEX(المبيعات!$C:$C,MATCH(I138,المبيعات!$A:$A,0)),""))</f>
        <v/>
      </c>
      <c r="L138" t="str">
        <f>IF(AND(J138&lt;&gt;"", E138&lt;&gt;""), IF(E138 &gt; IFERROR(INDEX(جدول [2]الأقساط!$E:$E,MATCH(J138,جدول [2]الأقساط!$A:$A,0)), E138), "⚠️ تحصيل أكبر من قيمة القسط", "سليم"), "سليم")</f>
        <v>سليم</v>
      </c>
    </row>
    <row r="139" spans="3:12" x14ac:dyDescent="0.25">
      <c r="C139" t="str">
        <f>IF(I139="","",IFERROR(INDEX(المبيعات!$C:$C,MATCH(I139,المبيعات!$A:$A,0)),""))</f>
        <v/>
      </c>
      <c r="L139" t="str">
        <f>IF(AND(J139&lt;&gt;"", E139&lt;&gt;""), IF(E139 &gt; IFERROR(INDEX(جدول [2]الأقساط!$E:$E,MATCH(J139,جدول [2]الأقساط!$A:$A,0)), E139), "⚠️ تحصيل أكبر من قيمة القسط", "سليم"), "سليم")</f>
        <v>سليم</v>
      </c>
    </row>
    <row r="140" spans="3:12" x14ac:dyDescent="0.25">
      <c r="C140" t="str">
        <f>IF(I140="","",IFERROR(INDEX(المبيعات!$C:$C,MATCH(I140,المبيعات!$A:$A,0)),""))</f>
        <v/>
      </c>
      <c r="L140" t="str">
        <f>IF(AND(J140&lt;&gt;"", E140&lt;&gt;""), IF(E140 &gt; IFERROR(INDEX(جدول [2]الأقساط!$E:$E,MATCH(J140,جدول [2]الأقساط!$A:$A,0)), E140), "⚠️ تحصيل أكبر من قيمة القسط", "سليم"), "سليم")</f>
        <v>سليم</v>
      </c>
    </row>
    <row r="141" spans="3:12" x14ac:dyDescent="0.25">
      <c r="C141" t="str">
        <f>IF(I141="","",IFERROR(INDEX(المبيعات!$C:$C,MATCH(I141,المبيعات!$A:$A,0)),""))</f>
        <v/>
      </c>
      <c r="L141" t="str">
        <f>IF(AND(J141&lt;&gt;"", E141&lt;&gt;""), IF(E141 &gt; IFERROR(INDEX(جدول [2]الأقساط!$E:$E,MATCH(J141,جدول [2]الأقساط!$A:$A,0)), E141), "⚠️ تحصيل أكبر من قيمة القسط", "سليم"), "سليم")</f>
        <v>سليم</v>
      </c>
    </row>
    <row r="142" spans="3:12" x14ac:dyDescent="0.25">
      <c r="C142" t="str">
        <f>IF(I142="","",IFERROR(INDEX(المبيعات!$C:$C,MATCH(I142,المبيعات!$A:$A,0)),""))</f>
        <v/>
      </c>
      <c r="L142" t="str">
        <f>IF(AND(J142&lt;&gt;"", E142&lt;&gt;""), IF(E142 &gt; IFERROR(INDEX(جدول [2]الأقساط!$E:$E,MATCH(J142,جدول [2]الأقساط!$A:$A,0)), E142), "⚠️ تحصيل أكبر من قيمة القسط", "سليم"), "سليم")</f>
        <v>سليم</v>
      </c>
    </row>
    <row r="143" spans="3:12" x14ac:dyDescent="0.25">
      <c r="C143" t="str">
        <f>IF(I143="","",IFERROR(INDEX(المبيعات!$C:$C,MATCH(I143,المبيعات!$A:$A,0)),""))</f>
        <v/>
      </c>
      <c r="L143" t="str">
        <f>IF(AND(J143&lt;&gt;"", E143&lt;&gt;""), IF(E143 &gt; IFERROR(INDEX(جدول [2]الأقساط!$E:$E,MATCH(J143,جدول [2]الأقساط!$A:$A,0)), E143), "⚠️ تحصيل أكبر من قيمة القسط", "سليم"), "سليم")</f>
        <v>سليم</v>
      </c>
    </row>
    <row r="144" spans="3:12" x14ac:dyDescent="0.25">
      <c r="C144" t="str">
        <f>IF(I144="","",IFERROR(INDEX(المبيعات!$C:$C,MATCH(I144,المبيعات!$A:$A,0)),""))</f>
        <v/>
      </c>
      <c r="L144" t="str">
        <f>IF(AND(J144&lt;&gt;"", E144&lt;&gt;""), IF(E144 &gt; IFERROR(INDEX(جدول [2]الأقساط!$E:$E,MATCH(J144,جدول [2]الأقساط!$A:$A,0)), E144), "⚠️ تحصيل أكبر من قيمة القسط", "سليم"), "سليم")</f>
        <v>سليم</v>
      </c>
    </row>
    <row r="145" spans="3:12" x14ac:dyDescent="0.25">
      <c r="C145" t="str">
        <f>IF(I145="","",IFERROR(INDEX(المبيعات!$C:$C,MATCH(I145,المبيعات!$A:$A,0)),""))</f>
        <v/>
      </c>
      <c r="L145" t="str">
        <f>IF(AND(J145&lt;&gt;"", E145&lt;&gt;""), IF(E145 &gt; IFERROR(INDEX(جدول [2]الأقساط!$E:$E,MATCH(J145,جدول [2]الأقساط!$A:$A,0)), E145), "⚠️ تحصيل أكبر من قيمة القسط", "سليم"), "سليم")</f>
        <v>سليم</v>
      </c>
    </row>
    <row r="146" spans="3:12" x14ac:dyDescent="0.25">
      <c r="C146" t="str">
        <f>IF(I146="","",IFERROR(INDEX(المبيعات!$C:$C,MATCH(I146,المبيعات!$A:$A,0)),""))</f>
        <v/>
      </c>
      <c r="L146" t="str">
        <f>IF(AND(J146&lt;&gt;"", E146&lt;&gt;""), IF(E146 &gt; IFERROR(INDEX(جدول [2]الأقساط!$E:$E,MATCH(J146,جدول [2]الأقساط!$A:$A,0)), E146), "⚠️ تحصيل أكبر من قيمة القسط", "سليم"), "سليم")</f>
        <v>سليم</v>
      </c>
    </row>
    <row r="147" spans="3:12" x14ac:dyDescent="0.25">
      <c r="C147" t="str">
        <f>IF(I147="","",IFERROR(INDEX(المبيعات!$C:$C,MATCH(I147,المبيعات!$A:$A,0)),""))</f>
        <v/>
      </c>
      <c r="L147" t="str">
        <f>IF(AND(J147&lt;&gt;"", E147&lt;&gt;""), IF(E147 &gt; IFERROR(INDEX(جدول [2]الأقساط!$E:$E,MATCH(J147,جدول [2]الأقساط!$A:$A,0)), E147), "⚠️ تحصيل أكبر من قيمة القسط", "سليم"), "سليم")</f>
        <v>سليم</v>
      </c>
    </row>
    <row r="148" spans="3:12" x14ac:dyDescent="0.25">
      <c r="C148" t="str">
        <f>IF(I148="","",IFERROR(INDEX(المبيعات!$C:$C,MATCH(I148,المبيعات!$A:$A,0)),""))</f>
        <v/>
      </c>
      <c r="L148" t="str">
        <f>IF(AND(J148&lt;&gt;"", E148&lt;&gt;""), IF(E148 &gt; IFERROR(INDEX(جدول [2]الأقساط!$E:$E,MATCH(J148,جدول [2]الأقساط!$A:$A,0)), E148), "⚠️ تحصيل أكبر من قيمة القسط", "سليم"), "سليم")</f>
        <v>سليم</v>
      </c>
    </row>
    <row r="149" spans="3:12" x14ac:dyDescent="0.25">
      <c r="C149" t="str">
        <f>IF(I149="","",IFERROR(INDEX(المبيعات!$C:$C,MATCH(I149,المبيعات!$A:$A,0)),""))</f>
        <v/>
      </c>
      <c r="L149" t="str">
        <f>IF(AND(J149&lt;&gt;"", E149&lt;&gt;""), IF(E149 &gt; IFERROR(INDEX(جدول [2]الأقساط!$E:$E,MATCH(J149,جدول [2]الأقساط!$A:$A,0)), E149), "⚠️ تحصيل أكبر من قيمة القسط", "سليم"), "سليم")</f>
        <v>سليم</v>
      </c>
    </row>
    <row r="150" spans="3:12" x14ac:dyDescent="0.25">
      <c r="C150" t="str">
        <f>IF(I150="","",IFERROR(INDEX(المبيعات!$C:$C,MATCH(I150,المبيعات!$A:$A,0)),""))</f>
        <v/>
      </c>
      <c r="L150" t="str">
        <f>IF(AND(J150&lt;&gt;"", E150&lt;&gt;""), IF(E150 &gt; IFERROR(INDEX(جدول [2]الأقساط!$E:$E,MATCH(J150,جدول [2]الأقساط!$A:$A,0)), E150), "⚠️ تحصيل أكبر من قيمة القسط", "سليم"), "سليم")</f>
        <v>سليم</v>
      </c>
    </row>
    <row r="151" spans="3:12" x14ac:dyDescent="0.25">
      <c r="C151" t="str">
        <f>IF(I151="","",IFERROR(INDEX(المبيعات!$C:$C,MATCH(I151,المبيعات!$A:$A,0)),""))</f>
        <v/>
      </c>
      <c r="L151" t="str">
        <f>IF(AND(J151&lt;&gt;"", E151&lt;&gt;""), IF(E151 &gt; IFERROR(INDEX(جدول [2]الأقساط!$E:$E,MATCH(J151,جدول [2]الأقساط!$A:$A,0)), E151), "⚠️ تحصيل أكبر من قيمة القسط", "سليم"), "سليم")</f>
        <v>سليم</v>
      </c>
    </row>
    <row r="152" spans="3:12" x14ac:dyDescent="0.25">
      <c r="C152" t="str">
        <f>IF(I152="","",IFERROR(INDEX(المبيعات!$C:$C,MATCH(I152,المبيعات!$A:$A,0)),""))</f>
        <v/>
      </c>
      <c r="L152" t="str">
        <f>IF(AND(J152&lt;&gt;"", E152&lt;&gt;""), IF(E152 &gt; IFERROR(INDEX(جدول [2]الأقساط!$E:$E,MATCH(J152,جدول [2]الأقساط!$A:$A,0)), E152), "⚠️ تحصيل أكبر من قيمة القسط", "سليم"), "سليم")</f>
        <v>سليم</v>
      </c>
    </row>
    <row r="153" spans="3:12" x14ac:dyDescent="0.25">
      <c r="C153" t="str">
        <f>IF(I153="","",IFERROR(INDEX(المبيعات!$C:$C,MATCH(I153,المبيعات!$A:$A,0)),""))</f>
        <v/>
      </c>
      <c r="L153" t="str">
        <f>IF(AND(J153&lt;&gt;"", E153&lt;&gt;""), IF(E153 &gt; IFERROR(INDEX(جدول [2]الأقساط!$E:$E,MATCH(J153,جدول [2]الأقساط!$A:$A,0)), E153), "⚠️ تحصيل أكبر من قيمة القسط", "سليم"), "سليم")</f>
        <v>سليم</v>
      </c>
    </row>
    <row r="154" spans="3:12" x14ac:dyDescent="0.25">
      <c r="C154" t="str">
        <f>IF(I154="","",IFERROR(INDEX(المبيعات!$C:$C,MATCH(I154,المبيعات!$A:$A,0)),""))</f>
        <v/>
      </c>
      <c r="L154" t="str">
        <f>IF(AND(J154&lt;&gt;"", E154&lt;&gt;""), IF(E154 &gt; IFERROR(INDEX(جدول [2]الأقساط!$E:$E,MATCH(J154,جدول [2]الأقساط!$A:$A,0)), E154), "⚠️ تحصيل أكبر من قيمة القسط", "سليم"), "سليم")</f>
        <v>سليم</v>
      </c>
    </row>
    <row r="155" spans="3:12" x14ac:dyDescent="0.25">
      <c r="C155" t="str">
        <f>IF(I155="","",IFERROR(INDEX(المبيعات!$C:$C,MATCH(I155,المبيعات!$A:$A,0)),""))</f>
        <v/>
      </c>
      <c r="L155" t="str">
        <f>IF(AND(J155&lt;&gt;"", E155&lt;&gt;""), IF(E155 &gt; IFERROR(INDEX(جدول [2]الأقساط!$E:$E,MATCH(J155,جدول [2]الأقساط!$A:$A,0)), E155), "⚠️ تحصيل أكبر من قيمة القسط", "سليم"), "سليم")</f>
        <v>سليم</v>
      </c>
    </row>
    <row r="156" spans="3:12" x14ac:dyDescent="0.25">
      <c r="C156" t="str">
        <f>IF(I156="","",IFERROR(INDEX(المبيعات!$C:$C,MATCH(I156,المبيعات!$A:$A,0)),""))</f>
        <v/>
      </c>
      <c r="L156" t="str">
        <f>IF(AND(J156&lt;&gt;"", E156&lt;&gt;""), IF(E156 &gt; IFERROR(INDEX(جدول [2]الأقساط!$E:$E,MATCH(J156,جدول [2]الأقساط!$A:$A,0)), E156), "⚠️ تحصيل أكبر من قيمة القسط", "سليم"), "سليم")</f>
        <v>سليم</v>
      </c>
    </row>
    <row r="157" spans="3:12" x14ac:dyDescent="0.25">
      <c r="C157" t="str">
        <f>IF(I157="","",IFERROR(INDEX(المبيعات!$C:$C,MATCH(I157,المبيعات!$A:$A,0)),""))</f>
        <v/>
      </c>
      <c r="L157" t="str">
        <f>IF(AND(J157&lt;&gt;"", E157&lt;&gt;""), IF(E157 &gt; IFERROR(INDEX(جدول [2]الأقساط!$E:$E,MATCH(J157,جدول [2]الأقساط!$A:$A,0)), E157), "⚠️ تحصيل أكبر من قيمة القسط", "سليم"), "سليم")</f>
        <v>سليم</v>
      </c>
    </row>
    <row r="158" spans="3:12" x14ac:dyDescent="0.25">
      <c r="C158" t="str">
        <f>IF(I158="","",IFERROR(INDEX(المبيعات!$C:$C,MATCH(I158,المبيعات!$A:$A,0)),""))</f>
        <v/>
      </c>
      <c r="L158" t="str">
        <f>IF(AND(J158&lt;&gt;"", E158&lt;&gt;""), IF(E158 &gt; IFERROR(INDEX(جدول [2]الأقساط!$E:$E,MATCH(J158,جدول [2]الأقساط!$A:$A,0)), E158), "⚠️ تحصيل أكبر من قيمة القسط", "سليم"), "سليم")</f>
        <v>سليم</v>
      </c>
    </row>
    <row r="159" spans="3:12" x14ac:dyDescent="0.25">
      <c r="C159" t="str">
        <f>IF(I159="","",IFERROR(INDEX(المبيعات!$C:$C,MATCH(I159,المبيعات!$A:$A,0)),""))</f>
        <v/>
      </c>
      <c r="L159" t="str">
        <f>IF(AND(J159&lt;&gt;"", E159&lt;&gt;""), IF(E159 &gt; IFERROR(INDEX(جدول [2]الأقساط!$E:$E,MATCH(J159,جدول [2]الأقساط!$A:$A,0)), E159), "⚠️ تحصيل أكبر من قيمة القسط", "سليم"), "سليم")</f>
        <v>سليم</v>
      </c>
    </row>
    <row r="160" spans="3:12" x14ac:dyDescent="0.25">
      <c r="C160" t="str">
        <f>IF(I160="","",IFERROR(INDEX(المبيعات!$C:$C,MATCH(I160,المبيعات!$A:$A,0)),""))</f>
        <v/>
      </c>
      <c r="L160" t="str">
        <f>IF(AND(J160&lt;&gt;"", E160&lt;&gt;""), IF(E160 &gt; IFERROR(INDEX(جدول [2]الأقساط!$E:$E,MATCH(J160,جدول [2]الأقساط!$A:$A,0)), E160), "⚠️ تحصيل أكبر من قيمة القسط", "سليم"), "سليم")</f>
        <v>سليم</v>
      </c>
    </row>
    <row r="161" spans="3:12" x14ac:dyDescent="0.25">
      <c r="C161" t="str">
        <f>IF(I161="","",IFERROR(INDEX(المبيعات!$C:$C,MATCH(I161,المبيعات!$A:$A,0)),""))</f>
        <v/>
      </c>
      <c r="L161" t="str">
        <f>IF(AND(J161&lt;&gt;"", E161&lt;&gt;""), IF(E161 &gt; IFERROR(INDEX(جدول [2]الأقساط!$E:$E,MATCH(J161,جدول [2]الأقساط!$A:$A,0)), E161), "⚠️ تحصيل أكبر من قيمة القسط", "سليم"), "سليم")</f>
        <v>سليم</v>
      </c>
    </row>
    <row r="162" spans="3:12" x14ac:dyDescent="0.25">
      <c r="C162" t="str">
        <f>IF(I162="","",IFERROR(INDEX(المبيعات!$C:$C,MATCH(I162,المبيعات!$A:$A,0)),""))</f>
        <v/>
      </c>
      <c r="L162" t="str">
        <f>IF(AND(J162&lt;&gt;"", E162&lt;&gt;""), IF(E162 &gt; IFERROR(INDEX(جدول [2]الأقساط!$E:$E,MATCH(J162,جدول [2]الأقساط!$A:$A,0)), E162), "⚠️ تحصيل أكبر من قيمة القسط", "سليم"), "سليم")</f>
        <v>سليم</v>
      </c>
    </row>
    <row r="163" spans="3:12" x14ac:dyDescent="0.25">
      <c r="C163" t="str">
        <f>IF(I163="","",IFERROR(INDEX(المبيعات!$C:$C,MATCH(I163,المبيعات!$A:$A,0)),""))</f>
        <v/>
      </c>
      <c r="L163" t="str">
        <f>IF(AND(J163&lt;&gt;"", E163&lt;&gt;""), IF(E163 &gt; IFERROR(INDEX(جدول [2]الأقساط!$E:$E,MATCH(J163,جدول [2]الأقساط!$A:$A,0)), E163), "⚠️ تحصيل أكبر من قيمة القسط", "سليم"), "سليم")</f>
        <v>سليم</v>
      </c>
    </row>
    <row r="164" spans="3:12" x14ac:dyDescent="0.25">
      <c r="C164" t="str">
        <f>IF(I164="","",IFERROR(INDEX(المبيعات!$C:$C,MATCH(I164,المبيعات!$A:$A,0)),""))</f>
        <v/>
      </c>
      <c r="L164" t="str">
        <f>IF(AND(J164&lt;&gt;"", E164&lt;&gt;""), IF(E164 &gt; IFERROR(INDEX(جدول [2]الأقساط!$E:$E,MATCH(J164,جدول [2]الأقساط!$A:$A,0)), E164), "⚠️ تحصيل أكبر من قيمة القسط", "سليم"), "سليم")</f>
        <v>سليم</v>
      </c>
    </row>
    <row r="165" spans="3:12" x14ac:dyDescent="0.25">
      <c r="C165" t="str">
        <f>IF(I165="","",IFERROR(INDEX(المبيعات!$C:$C,MATCH(I165,المبيعات!$A:$A,0)),""))</f>
        <v/>
      </c>
      <c r="L165" t="str">
        <f>IF(AND(J165&lt;&gt;"", E165&lt;&gt;""), IF(E165 &gt; IFERROR(INDEX(جدول [2]الأقساط!$E:$E,MATCH(J165,جدول [2]الأقساط!$A:$A,0)), E165), "⚠️ تحصيل أكبر من قيمة القسط", "سليم"), "سليم")</f>
        <v>سليم</v>
      </c>
    </row>
    <row r="166" spans="3:12" x14ac:dyDescent="0.25">
      <c r="C166" t="str">
        <f>IF(I166="","",IFERROR(INDEX(المبيعات!$C:$C,MATCH(I166,المبيعات!$A:$A,0)),""))</f>
        <v/>
      </c>
      <c r="L166" t="str">
        <f>IF(AND(J166&lt;&gt;"", E166&lt;&gt;""), IF(E166 &gt; IFERROR(INDEX(جدول [2]الأقساط!$E:$E,MATCH(J166,جدول [2]الأقساط!$A:$A,0)), E166), "⚠️ تحصيل أكبر من قيمة القسط", "سليم"), "سليم")</f>
        <v>سليم</v>
      </c>
    </row>
    <row r="167" spans="3:12" x14ac:dyDescent="0.25">
      <c r="C167" t="str">
        <f>IF(I167="","",IFERROR(INDEX(المبيعات!$C:$C,MATCH(I167,المبيعات!$A:$A,0)),""))</f>
        <v/>
      </c>
      <c r="L167" t="str">
        <f>IF(AND(J167&lt;&gt;"", E167&lt;&gt;""), IF(E167 &gt; IFERROR(INDEX(جدول [2]الأقساط!$E:$E,MATCH(J167,جدول [2]الأقساط!$A:$A,0)), E167), "⚠️ تحصيل أكبر من قيمة القسط", "سليم"), "سليم")</f>
        <v>سليم</v>
      </c>
    </row>
    <row r="168" spans="3:12" x14ac:dyDescent="0.25">
      <c r="C168" t="str">
        <f>IF(I168="","",IFERROR(INDEX(المبيعات!$C:$C,MATCH(I168,المبيعات!$A:$A,0)),""))</f>
        <v/>
      </c>
      <c r="L168" t="str">
        <f>IF(AND(J168&lt;&gt;"", E168&lt;&gt;""), IF(E168 &gt; IFERROR(INDEX(جدول [2]الأقساط!$E:$E,MATCH(J168,جدول [2]الأقساط!$A:$A,0)), E168), "⚠️ تحصيل أكبر من قيمة القسط", "سليم"), "سليم")</f>
        <v>سليم</v>
      </c>
    </row>
    <row r="169" spans="3:12" x14ac:dyDescent="0.25">
      <c r="C169" t="str">
        <f>IF(I169="","",IFERROR(INDEX(المبيعات!$C:$C,MATCH(I169,المبيعات!$A:$A,0)),""))</f>
        <v/>
      </c>
      <c r="L169" t="str">
        <f>IF(AND(J169&lt;&gt;"", E169&lt;&gt;""), IF(E169 &gt; IFERROR(INDEX(جدول [2]الأقساط!$E:$E,MATCH(J169,جدول [2]الأقساط!$A:$A,0)), E169), "⚠️ تحصيل أكبر من قيمة القسط", "سليم"), "سليم")</f>
        <v>سليم</v>
      </c>
    </row>
    <row r="170" spans="3:12" x14ac:dyDescent="0.25">
      <c r="C170" t="str">
        <f>IF(I170="","",IFERROR(INDEX(المبيعات!$C:$C,MATCH(I170,المبيعات!$A:$A,0)),""))</f>
        <v/>
      </c>
      <c r="L170" t="str">
        <f>IF(AND(J170&lt;&gt;"", E170&lt;&gt;""), IF(E170 &gt; IFERROR(INDEX(جدول [2]الأقساط!$E:$E,MATCH(J170,جدول [2]الأقساط!$A:$A,0)), E170), "⚠️ تحصيل أكبر من قيمة القسط", "سليم"), "سليم")</f>
        <v>سليم</v>
      </c>
    </row>
    <row r="171" spans="3:12" x14ac:dyDescent="0.25">
      <c r="C171" t="str">
        <f>IF(I171="","",IFERROR(INDEX(المبيعات!$C:$C,MATCH(I171,المبيعات!$A:$A,0)),""))</f>
        <v/>
      </c>
      <c r="L171" t="str">
        <f>IF(AND(J171&lt;&gt;"", E171&lt;&gt;""), IF(E171 &gt; IFERROR(INDEX(جدول [2]الأقساط!$E:$E,MATCH(J171,جدول [2]الأقساط!$A:$A,0)), E171), "⚠️ تحصيل أكبر من قيمة القسط", "سليم"), "سليم")</f>
        <v>سليم</v>
      </c>
    </row>
    <row r="172" spans="3:12" x14ac:dyDescent="0.25">
      <c r="C172" t="str">
        <f>IF(I172="","",IFERROR(INDEX(المبيعات!$C:$C,MATCH(I172,المبيعات!$A:$A,0)),""))</f>
        <v/>
      </c>
      <c r="L172" t="str">
        <f>IF(AND(J172&lt;&gt;"", E172&lt;&gt;""), IF(E172 &gt; IFERROR(INDEX(جدول [2]الأقساط!$E:$E,MATCH(J172,جدول [2]الأقساط!$A:$A,0)), E172), "⚠️ تحصيل أكبر من قيمة القسط", "سليم"), "سليم")</f>
        <v>سليم</v>
      </c>
    </row>
    <row r="173" spans="3:12" x14ac:dyDescent="0.25">
      <c r="C173" t="str">
        <f>IF(I173="","",IFERROR(INDEX(المبيعات!$C:$C,MATCH(I173,المبيعات!$A:$A,0)),""))</f>
        <v/>
      </c>
      <c r="L173" t="str">
        <f>IF(AND(J173&lt;&gt;"", E173&lt;&gt;""), IF(E173 &gt; IFERROR(INDEX(جدول [2]الأقساط!$E:$E,MATCH(J173,جدول [2]الأقساط!$A:$A,0)), E173), "⚠️ تحصيل أكبر من قيمة القسط", "سليم"), "سليم")</f>
        <v>سليم</v>
      </c>
    </row>
    <row r="174" spans="3:12" x14ac:dyDescent="0.25">
      <c r="C174" t="str">
        <f>IF(I174="","",IFERROR(INDEX(المبيعات!$C:$C,MATCH(I174,المبيعات!$A:$A,0)),""))</f>
        <v/>
      </c>
      <c r="L174" t="str">
        <f>IF(AND(J174&lt;&gt;"", E174&lt;&gt;""), IF(E174 &gt; IFERROR(INDEX(جدول [2]الأقساط!$E:$E,MATCH(J174,جدول [2]الأقساط!$A:$A,0)), E174), "⚠️ تحصيل أكبر من قيمة القسط", "سليم"), "سليم")</f>
        <v>سليم</v>
      </c>
    </row>
    <row r="175" spans="3:12" x14ac:dyDescent="0.25">
      <c r="C175" t="str">
        <f>IF(I175="","",IFERROR(INDEX(المبيعات!$C:$C,MATCH(I175,المبيعات!$A:$A,0)),""))</f>
        <v/>
      </c>
      <c r="L175" t="str">
        <f>IF(AND(J175&lt;&gt;"", E175&lt;&gt;""), IF(E175 &gt; IFERROR(INDEX(جدول [2]الأقساط!$E:$E,MATCH(J175,جدول [2]الأقساط!$A:$A,0)), E175), "⚠️ تحصيل أكبر من قيمة القسط", "سليم"), "سليم")</f>
        <v>سليم</v>
      </c>
    </row>
    <row r="176" spans="3:12" x14ac:dyDescent="0.25">
      <c r="C176" t="str">
        <f>IF(I176="","",IFERROR(INDEX(المبيعات!$C:$C,MATCH(I176,المبيعات!$A:$A,0)),""))</f>
        <v/>
      </c>
      <c r="L176" t="str">
        <f>IF(AND(J176&lt;&gt;"", E176&lt;&gt;""), IF(E176 &gt; IFERROR(INDEX(جدول [2]الأقساط!$E:$E,MATCH(J176,جدول [2]الأقساط!$A:$A,0)), E176), "⚠️ تحصيل أكبر من قيمة القسط", "سليم"), "سليم")</f>
        <v>سليم</v>
      </c>
    </row>
    <row r="177" spans="3:12" x14ac:dyDescent="0.25">
      <c r="C177" t="str">
        <f>IF(I177="","",IFERROR(INDEX(المبيعات!$C:$C,MATCH(I177,المبيعات!$A:$A,0)),""))</f>
        <v/>
      </c>
      <c r="L177" t="str">
        <f>IF(AND(J177&lt;&gt;"", E177&lt;&gt;""), IF(E177 &gt; IFERROR(INDEX(جدول [2]الأقساط!$E:$E,MATCH(J177,جدول [2]الأقساط!$A:$A,0)), E177), "⚠️ تحصيل أكبر من قيمة القسط", "سليم"), "سليم")</f>
        <v>سليم</v>
      </c>
    </row>
    <row r="178" spans="3:12" x14ac:dyDescent="0.25">
      <c r="C178" t="str">
        <f>IF(I178="","",IFERROR(INDEX(المبيعات!$C:$C,MATCH(I178,المبيعات!$A:$A,0)),""))</f>
        <v/>
      </c>
      <c r="L178" t="str">
        <f>IF(AND(J178&lt;&gt;"", E178&lt;&gt;""), IF(E178 &gt; IFERROR(INDEX(جدول [2]الأقساط!$E:$E,MATCH(J178,جدول [2]الأقساط!$A:$A,0)), E178), "⚠️ تحصيل أكبر من قيمة القسط", "سليم"), "سليم")</f>
        <v>سليم</v>
      </c>
    </row>
    <row r="179" spans="3:12" x14ac:dyDescent="0.25">
      <c r="C179" t="str">
        <f>IF(I179="","",IFERROR(INDEX(المبيعات!$C:$C,MATCH(I179,المبيعات!$A:$A,0)),""))</f>
        <v/>
      </c>
      <c r="L179" t="str">
        <f>IF(AND(J179&lt;&gt;"", E179&lt;&gt;""), IF(E179 &gt; IFERROR(INDEX(جدول [2]الأقساط!$E:$E,MATCH(J179,جدول [2]الأقساط!$A:$A,0)), E179), "⚠️ تحصيل أكبر من قيمة القسط", "سليم"), "سليم")</f>
        <v>سليم</v>
      </c>
    </row>
    <row r="180" spans="3:12" x14ac:dyDescent="0.25">
      <c r="C180" t="str">
        <f>IF(I180="","",IFERROR(INDEX(المبيعات!$C:$C,MATCH(I180,المبيعات!$A:$A,0)),""))</f>
        <v/>
      </c>
      <c r="L180" t="str">
        <f>IF(AND(J180&lt;&gt;"", E180&lt;&gt;""), IF(E180 &gt; IFERROR(INDEX(جدول [2]الأقساط!$E:$E,MATCH(J180,جدول [2]الأقساط!$A:$A,0)), E180), "⚠️ تحصيل أكبر من قيمة القسط", "سليم"), "سليم")</f>
        <v>سليم</v>
      </c>
    </row>
    <row r="181" spans="3:12" x14ac:dyDescent="0.25">
      <c r="C181" t="str">
        <f>IF(I181="","",IFERROR(INDEX(المبيعات!$C:$C,MATCH(I181,المبيعات!$A:$A,0)),""))</f>
        <v/>
      </c>
      <c r="L181" t="str">
        <f>IF(AND(J181&lt;&gt;"", E181&lt;&gt;""), IF(E181 &gt; IFERROR(INDEX(جدول [2]الأقساط!$E:$E,MATCH(J181,جدول [2]الأقساط!$A:$A,0)), E181), "⚠️ تحصيل أكبر من قيمة القسط", "سليم"), "سليم")</f>
        <v>سليم</v>
      </c>
    </row>
    <row r="182" spans="3:12" x14ac:dyDescent="0.25">
      <c r="C182" t="str">
        <f>IF(I182="","",IFERROR(INDEX(المبيعات!$C:$C,MATCH(I182,المبيعات!$A:$A,0)),""))</f>
        <v/>
      </c>
      <c r="L182" t="str">
        <f>IF(AND(J182&lt;&gt;"", E182&lt;&gt;""), IF(E182 &gt; IFERROR(INDEX(جدول [2]الأقساط!$E:$E,MATCH(J182,جدول [2]الأقساط!$A:$A,0)), E182), "⚠️ تحصيل أكبر من قيمة القسط", "سليم"), "سليم")</f>
        <v>سليم</v>
      </c>
    </row>
    <row r="183" spans="3:12" x14ac:dyDescent="0.25">
      <c r="C183" t="str">
        <f>IF(I183="","",IFERROR(INDEX(المبيعات!$C:$C,MATCH(I183,المبيعات!$A:$A,0)),""))</f>
        <v/>
      </c>
      <c r="L183" t="str">
        <f>IF(AND(J183&lt;&gt;"", E183&lt;&gt;""), IF(E183 &gt; IFERROR(INDEX(جدول [2]الأقساط!$E:$E,MATCH(J183,جدول [2]الأقساط!$A:$A,0)), E183), "⚠️ تحصيل أكبر من قيمة القسط", "سليم"), "سليم")</f>
        <v>سليم</v>
      </c>
    </row>
    <row r="184" spans="3:12" x14ac:dyDescent="0.25">
      <c r="C184" t="str">
        <f>IF(I184="","",IFERROR(INDEX(المبيعات!$C:$C,MATCH(I184,المبيعات!$A:$A,0)),""))</f>
        <v/>
      </c>
      <c r="L184" t="str">
        <f>IF(AND(J184&lt;&gt;"", E184&lt;&gt;""), IF(E184 &gt; IFERROR(INDEX(جدول [2]الأقساط!$E:$E,MATCH(J184,جدول [2]الأقساط!$A:$A,0)), E184), "⚠️ تحصيل أكبر من قيمة القسط", "سليم"), "سليم")</f>
        <v>سليم</v>
      </c>
    </row>
    <row r="185" spans="3:12" x14ac:dyDescent="0.25">
      <c r="C185" t="str">
        <f>IF(I185="","",IFERROR(INDEX(المبيعات!$C:$C,MATCH(I185,المبيعات!$A:$A,0)),""))</f>
        <v/>
      </c>
      <c r="L185" t="str">
        <f>IF(AND(J185&lt;&gt;"", E185&lt;&gt;""), IF(E185 &gt; IFERROR(INDEX(جدول [2]الأقساط!$E:$E,MATCH(J185,جدول [2]الأقساط!$A:$A,0)), E185), "⚠️ تحصيل أكبر من قيمة القسط", "سليم"), "سليم")</f>
        <v>سليم</v>
      </c>
    </row>
    <row r="186" spans="3:12" x14ac:dyDescent="0.25">
      <c r="C186" t="str">
        <f>IF(I186="","",IFERROR(INDEX(المبيعات!$C:$C,MATCH(I186,المبيعات!$A:$A,0)),""))</f>
        <v/>
      </c>
      <c r="L186" t="str">
        <f>IF(AND(J186&lt;&gt;"", E186&lt;&gt;""), IF(E186 &gt; IFERROR(INDEX(جدول [2]الأقساط!$E:$E,MATCH(J186,جدول [2]الأقساط!$A:$A,0)), E186), "⚠️ تحصيل أكبر من قيمة القسط", "سليم"), "سليم")</f>
        <v>سليم</v>
      </c>
    </row>
    <row r="187" spans="3:12" x14ac:dyDescent="0.25">
      <c r="C187" t="str">
        <f>IF(I187="","",IFERROR(INDEX(المبيعات!$C:$C,MATCH(I187,المبيعات!$A:$A,0)),""))</f>
        <v/>
      </c>
      <c r="L187" t="str">
        <f>IF(AND(J187&lt;&gt;"", E187&lt;&gt;""), IF(E187 &gt; IFERROR(INDEX(جدول [2]الأقساط!$E:$E,MATCH(J187,جدول [2]الأقساط!$A:$A,0)), E187), "⚠️ تحصيل أكبر من قيمة القسط", "سليم"), "سليم")</f>
        <v>سليم</v>
      </c>
    </row>
    <row r="188" spans="3:12" x14ac:dyDescent="0.25">
      <c r="C188" t="str">
        <f>IF(I188="","",IFERROR(INDEX(المبيعات!$C:$C,MATCH(I188,المبيعات!$A:$A,0)),""))</f>
        <v/>
      </c>
      <c r="L188" t="str">
        <f>IF(AND(J188&lt;&gt;"", E188&lt;&gt;""), IF(E188 &gt; IFERROR(INDEX(جدول [2]الأقساط!$E:$E,MATCH(J188,جدول [2]الأقساط!$A:$A,0)), E188), "⚠️ تحصيل أكبر من قيمة القسط", "سليم"), "سليم")</f>
        <v>سليم</v>
      </c>
    </row>
    <row r="189" spans="3:12" x14ac:dyDescent="0.25">
      <c r="C189" t="str">
        <f>IF(I189="","",IFERROR(INDEX(المبيعات!$C:$C,MATCH(I189,المبيعات!$A:$A,0)),""))</f>
        <v/>
      </c>
      <c r="L189" t="str">
        <f>IF(AND(J189&lt;&gt;"", E189&lt;&gt;""), IF(E189 &gt; IFERROR(INDEX(جدول [2]الأقساط!$E:$E,MATCH(J189,جدول [2]الأقساط!$A:$A,0)), E189), "⚠️ تحصيل أكبر من قيمة القسط", "سليم"), "سليم")</f>
        <v>سليم</v>
      </c>
    </row>
    <row r="190" spans="3:12" x14ac:dyDescent="0.25">
      <c r="C190" t="str">
        <f>IF(I190="","",IFERROR(INDEX(المبيعات!$C:$C,MATCH(I190,المبيعات!$A:$A,0)),""))</f>
        <v/>
      </c>
      <c r="L190" t="str">
        <f>IF(AND(J190&lt;&gt;"", E190&lt;&gt;""), IF(E190 &gt; IFERROR(INDEX(جدول [2]الأقساط!$E:$E,MATCH(J190,جدول [2]الأقساط!$A:$A,0)), E190), "⚠️ تحصيل أكبر من قيمة القسط", "سليم"), "سليم")</f>
        <v>سليم</v>
      </c>
    </row>
    <row r="191" spans="3:12" x14ac:dyDescent="0.25">
      <c r="C191" t="str">
        <f>IF(I191="","",IFERROR(INDEX(المبيعات!$C:$C,MATCH(I191,المبيعات!$A:$A,0)),""))</f>
        <v/>
      </c>
      <c r="L191" t="str">
        <f>IF(AND(J191&lt;&gt;"", E191&lt;&gt;""), IF(E191 &gt; IFERROR(INDEX(جدول [2]الأقساط!$E:$E,MATCH(J191,جدول [2]الأقساط!$A:$A,0)), E191), "⚠️ تحصيل أكبر من قيمة القسط", "سليم"), "سليم")</f>
        <v>سليم</v>
      </c>
    </row>
    <row r="192" spans="3:12" x14ac:dyDescent="0.25">
      <c r="C192" t="str">
        <f>IF(I192="","",IFERROR(INDEX(المبيعات!$C:$C,MATCH(I192,المبيعات!$A:$A,0)),""))</f>
        <v/>
      </c>
      <c r="L192" t="str">
        <f>IF(AND(J192&lt;&gt;"", E192&lt;&gt;""), IF(E192 &gt; IFERROR(INDEX(جدول [2]الأقساط!$E:$E,MATCH(J192,جدول [2]الأقساط!$A:$A,0)), E192), "⚠️ تحصيل أكبر من قيمة القسط", "سليم"), "سليم")</f>
        <v>سليم</v>
      </c>
    </row>
    <row r="193" spans="3:12" x14ac:dyDescent="0.25">
      <c r="C193" t="str">
        <f>IF(I193="","",IFERROR(INDEX(المبيعات!$C:$C,MATCH(I193,المبيعات!$A:$A,0)),""))</f>
        <v/>
      </c>
      <c r="L193" t="str">
        <f>IF(AND(J193&lt;&gt;"", E193&lt;&gt;""), IF(E193 &gt; IFERROR(INDEX(جدول [2]الأقساط!$E:$E,MATCH(J193,جدول [2]الأقساط!$A:$A,0)), E193), "⚠️ تحصيل أكبر من قيمة القسط", "سليم"), "سليم")</f>
        <v>سليم</v>
      </c>
    </row>
    <row r="194" spans="3:12" x14ac:dyDescent="0.25">
      <c r="C194" t="str">
        <f>IF(I194="","",IFERROR(INDEX(المبيعات!$C:$C,MATCH(I194,المبيعات!$A:$A,0)),""))</f>
        <v/>
      </c>
      <c r="L194" t="str">
        <f>IF(AND(J194&lt;&gt;"", E194&lt;&gt;""), IF(E194 &gt; IFERROR(INDEX(جدول [2]الأقساط!$E:$E,MATCH(J194,جدول [2]الأقساط!$A:$A,0)), E194), "⚠️ تحصيل أكبر من قيمة القسط", "سليم"), "سليم")</f>
        <v>سليم</v>
      </c>
    </row>
    <row r="195" spans="3:12" x14ac:dyDescent="0.25">
      <c r="C195" t="str">
        <f>IF(I195="","",IFERROR(INDEX(المبيعات!$C:$C,MATCH(I195,المبيعات!$A:$A,0)),""))</f>
        <v/>
      </c>
      <c r="L195" t="str">
        <f>IF(AND(J195&lt;&gt;"", E195&lt;&gt;""), IF(E195 &gt; IFERROR(INDEX(جدول [2]الأقساط!$E:$E,MATCH(J195,جدول [2]الأقساط!$A:$A,0)), E195), "⚠️ تحصيل أكبر من قيمة القسط", "سليم"), "سليم")</f>
        <v>سليم</v>
      </c>
    </row>
    <row r="196" spans="3:12" x14ac:dyDescent="0.25">
      <c r="C196" t="str">
        <f>IF(I196="","",IFERROR(INDEX(المبيعات!$C:$C,MATCH(I196,المبيعات!$A:$A,0)),""))</f>
        <v/>
      </c>
      <c r="L196" t="str">
        <f>IF(AND(J196&lt;&gt;"", E196&lt;&gt;""), IF(E196 &gt; IFERROR(INDEX(جدول [2]الأقساط!$E:$E,MATCH(J196,جدول [2]الأقساط!$A:$A,0)), E196), "⚠️ تحصيل أكبر من قيمة القسط", "سليم"), "سليم")</f>
        <v>سليم</v>
      </c>
    </row>
    <row r="197" spans="3:12" x14ac:dyDescent="0.25">
      <c r="C197" t="str">
        <f>IF(I197="","",IFERROR(INDEX(المبيعات!$C:$C,MATCH(I197,المبيعات!$A:$A,0)),""))</f>
        <v/>
      </c>
      <c r="L197" t="str">
        <f>IF(AND(J197&lt;&gt;"", E197&lt;&gt;""), IF(E197 &gt; IFERROR(INDEX(جدول [2]الأقساط!$E:$E,MATCH(J197,جدول [2]الأقساط!$A:$A,0)), E197), "⚠️ تحصيل أكبر من قيمة القسط", "سليم"), "سليم")</f>
        <v>سليم</v>
      </c>
    </row>
    <row r="198" spans="3:12" x14ac:dyDescent="0.25">
      <c r="C198" t="str">
        <f>IF(I198="","",IFERROR(INDEX(المبيعات!$C:$C,MATCH(I198,المبيعات!$A:$A,0)),""))</f>
        <v/>
      </c>
      <c r="L198" t="str">
        <f>IF(AND(J198&lt;&gt;"", E198&lt;&gt;""), IF(E198 &gt; IFERROR(INDEX(جدول [2]الأقساط!$E:$E,MATCH(J198,جدول [2]الأقساط!$A:$A,0)), E198), "⚠️ تحصيل أكبر من قيمة القسط", "سليم"), "سليم")</f>
        <v>سليم</v>
      </c>
    </row>
    <row r="199" spans="3:12" x14ac:dyDescent="0.25">
      <c r="C199" t="str">
        <f>IF(I199="","",IFERROR(INDEX(المبيعات!$C:$C,MATCH(I199,المبيعات!$A:$A,0)),""))</f>
        <v/>
      </c>
      <c r="L199" t="str">
        <f>IF(AND(J199&lt;&gt;"", E199&lt;&gt;""), IF(E199 &gt; IFERROR(INDEX(جدول [2]الأقساط!$E:$E,MATCH(J199,جدول [2]الأقساط!$A:$A,0)), E199), "⚠️ تحصيل أكبر من قيمة القسط", "سليم"), "سليم")</f>
        <v>سليم</v>
      </c>
    </row>
    <row r="200" spans="3:12" x14ac:dyDescent="0.25">
      <c r="C200" t="str">
        <f>IF(I200="","",IFERROR(INDEX(المبيعات!$C:$C,MATCH(I200,المبيعات!$A:$A,0)),""))</f>
        <v/>
      </c>
      <c r="L200" t="str">
        <f>IF(AND(J200&lt;&gt;"", E200&lt;&gt;""), IF(E200 &gt; IFERROR(INDEX(جدول [2]الأقساط!$E:$E,MATCH(J200,جدول [2]الأقساط!$A:$A,0)), E200), "⚠️ تحصيل أكبر من قيمة القسط", "سليم"), "سليم")</f>
        <v>سليم</v>
      </c>
    </row>
    <row r="201" spans="3:12" x14ac:dyDescent="0.25">
      <c r="C201" t="str">
        <f>IF(I201="","",IFERROR(INDEX(المبيعات!$C:$C,MATCH(I201,المبيعات!$A:$A,0)),""))</f>
        <v/>
      </c>
      <c r="L201" t="str">
        <f>IF(AND(J201&lt;&gt;"", E201&lt;&gt;""), IF(E201 &gt; IFERROR(INDEX(جدول [2]الأقساط!$E:$E,MATCH(J201,جدول [2]الأقساط!$A:$A,0)), E201), "⚠️ تحصيل أكبر من قيمة القسط", "سليم"), "سليم")</f>
        <v>سليم</v>
      </c>
    </row>
    <row r="202" spans="3:12" x14ac:dyDescent="0.25">
      <c r="C202" t="str">
        <f>IF(I202="","",IFERROR(INDEX(المبيعات!$C:$C,MATCH(I202,المبيعات!$A:$A,0)),""))</f>
        <v/>
      </c>
      <c r="L202" t="str">
        <f>IF(AND(J202&lt;&gt;"", E202&lt;&gt;""), IF(E202 &gt; IFERROR(INDEX(جدول [2]الأقساط!$E:$E,MATCH(J202,جدول [2]الأقساط!$A:$A,0)), E202), "⚠️ تحصيل أكبر من قيمة القسط", "سليم"), "سليم")</f>
        <v>سليم</v>
      </c>
    </row>
    <row r="203" spans="3:12" x14ac:dyDescent="0.25">
      <c r="C203" t="str">
        <f>IF(I203="","",IFERROR(INDEX(المبيعات!$C:$C,MATCH(I203,المبيعات!$A:$A,0)),""))</f>
        <v/>
      </c>
      <c r="L203" t="str">
        <f>IF(AND(J203&lt;&gt;"", E203&lt;&gt;""), IF(E203 &gt; IFERROR(INDEX(جدول [2]الأقساط!$E:$E,MATCH(J203,جدول [2]الأقساط!$A:$A,0)), E203), "⚠️ تحصيل أكبر من قيمة القسط", "سليم"), "سليم")</f>
        <v>سليم</v>
      </c>
    </row>
    <row r="204" spans="3:12" x14ac:dyDescent="0.25">
      <c r="C204" t="str">
        <f>IF(I204="","",IFERROR(INDEX(المبيعات!$C:$C,MATCH(I204,المبيعات!$A:$A,0)),""))</f>
        <v/>
      </c>
      <c r="L204" t="str">
        <f>IF(AND(J204&lt;&gt;"", E204&lt;&gt;""), IF(E204 &gt; IFERROR(INDEX(جدول [2]الأقساط!$E:$E,MATCH(J204,جدول [2]الأقساط!$A:$A,0)), E204), "⚠️ تحصيل أكبر من قيمة القسط", "سليم"), "سليم")</f>
        <v>سليم</v>
      </c>
    </row>
    <row r="205" spans="3:12" x14ac:dyDescent="0.25">
      <c r="C205" t="str">
        <f>IF(I205="","",IFERROR(INDEX(المبيعات!$C:$C,MATCH(I205,المبيعات!$A:$A,0)),""))</f>
        <v/>
      </c>
      <c r="L205" t="str">
        <f>IF(AND(J205&lt;&gt;"", E205&lt;&gt;""), IF(E205 &gt; IFERROR(INDEX(جدول [2]الأقساط!$E:$E,MATCH(J205,جدول [2]الأقساط!$A:$A,0)), E205), "⚠️ تحصيل أكبر من قيمة القسط", "سليم"), "سليم")</f>
        <v>سليم</v>
      </c>
    </row>
    <row r="206" spans="3:12" x14ac:dyDescent="0.25">
      <c r="C206" t="str">
        <f>IF(I206="","",IFERROR(INDEX(المبيعات!$C:$C,MATCH(I206,المبيعات!$A:$A,0)),""))</f>
        <v/>
      </c>
      <c r="L206" t="str">
        <f>IF(AND(J206&lt;&gt;"", E206&lt;&gt;""), IF(E206 &gt; IFERROR(INDEX(جدول [2]الأقساط!$E:$E,MATCH(J206,جدول [2]الأقساط!$A:$A,0)), E206), "⚠️ تحصيل أكبر من قيمة القسط", "سليم"), "سليم")</f>
        <v>سليم</v>
      </c>
    </row>
    <row r="207" spans="3:12" x14ac:dyDescent="0.25">
      <c r="C207" t="str">
        <f>IF(I207="","",IFERROR(INDEX(المبيعات!$C:$C,MATCH(I207,المبيعات!$A:$A,0)),""))</f>
        <v/>
      </c>
      <c r="L207" t="str">
        <f>IF(AND(J207&lt;&gt;"", E207&lt;&gt;""), IF(E207 &gt; IFERROR(INDEX(جدول [2]الأقساط!$E:$E,MATCH(J207,جدول [2]الأقساط!$A:$A,0)), E207), "⚠️ تحصيل أكبر من قيمة القسط", "سليم"), "سليم")</f>
        <v>سليم</v>
      </c>
    </row>
    <row r="208" spans="3:12" x14ac:dyDescent="0.25">
      <c r="C208" t="str">
        <f>IF(I208="","",IFERROR(INDEX(المبيعات!$C:$C,MATCH(I208,المبيعات!$A:$A,0)),""))</f>
        <v/>
      </c>
      <c r="L208" t="str">
        <f>IF(AND(J208&lt;&gt;"", E208&lt;&gt;""), IF(E208 &gt; IFERROR(INDEX(جدول [2]الأقساط!$E:$E,MATCH(J208,جدول [2]الأقساط!$A:$A,0)), E208), "⚠️ تحصيل أكبر من قيمة القسط", "سليم"), "سليم")</f>
        <v>سليم</v>
      </c>
    </row>
    <row r="209" spans="3:12" x14ac:dyDescent="0.25">
      <c r="C209" t="str">
        <f>IF(I209="","",IFERROR(INDEX(المبيعات!$C:$C,MATCH(I209,المبيعات!$A:$A,0)),""))</f>
        <v/>
      </c>
      <c r="L209" t="str">
        <f>IF(AND(J209&lt;&gt;"", E209&lt;&gt;""), IF(E209 &gt; IFERROR(INDEX(جدول [2]الأقساط!$E:$E,MATCH(J209,جدول [2]الأقساط!$A:$A,0)), E209), "⚠️ تحصيل أكبر من قيمة القسط", "سليم"), "سليم")</f>
        <v>سليم</v>
      </c>
    </row>
    <row r="210" spans="3:12" x14ac:dyDescent="0.25">
      <c r="C210" t="str">
        <f>IF(I210="","",IFERROR(INDEX(المبيعات!$C:$C,MATCH(I210,المبيعات!$A:$A,0)),""))</f>
        <v/>
      </c>
      <c r="L210" t="str">
        <f>IF(AND(J210&lt;&gt;"", E210&lt;&gt;""), IF(E210 &gt; IFERROR(INDEX(جدول [2]الأقساط!$E:$E,MATCH(J210,جدول [2]الأقساط!$A:$A,0)), E210), "⚠️ تحصيل أكبر من قيمة القسط", "سليم"), "سليم")</f>
        <v>سليم</v>
      </c>
    </row>
    <row r="211" spans="3:12" x14ac:dyDescent="0.25">
      <c r="C211" t="str">
        <f>IF(I211="","",IFERROR(INDEX(المبيعات!$C:$C,MATCH(I211,المبيعات!$A:$A,0)),""))</f>
        <v/>
      </c>
      <c r="L211" t="str">
        <f>IF(AND(J211&lt;&gt;"", E211&lt;&gt;""), IF(E211 &gt; IFERROR(INDEX(جدول [2]الأقساط!$E:$E,MATCH(J211,جدول [2]الأقساط!$A:$A,0)), E211), "⚠️ تحصيل أكبر من قيمة القسط", "سليم"), "سليم")</f>
        <v>سليم</v>
      </c>
    </row>
    <row r="212" spans="3:12" x14ac:dyDescent="0.25">
      <c r="C212" t="str">
        <f>IF(I212="","",IFERROR(INDEX(المبيعات!$C:$C,MATCH(I212,المبيعات!$A:$A,0)),""))</f>
        <v/>
      </c>
      <c r="L212" t="str">
        <f>IF(AND(J212&lt;&gt;"", E212&lt;&gt;""), IF(E212 &gt; IFERROR(INDEX(جدول [2]الأقساط!$E:$E,MATCH(J212,جدول [2]الأقساط!$A:$A,0)), E212), "⚠️ تحصيل أكبر من قيمة القسط", "سليم"), "سليم")</f>
        <v>سليم</v>
      </c>
    </row>
    <row r="213" spans="3:12" x14ac:dyDescent="0.25">
      <c r="C213" t="str">
        <f>IF(I213="","",IFERROR(INDEX(المبيعات!$C:$C,MATCH(I213,المبيعات!$A:$A,0)),""))</f>
        <v/>
      </c>
      <c r="L213" t="str">
        <f>IF(AND(J213&lt;&gt;"", E213&lt;&gt;""), IF(E213 &gt; IFERROR(INDEX(جدول [2]الأقساط!$E:$E,MATCH(J213,جدول [2]الأقساط!$A:$A,0)), E213), "⚠️ تحصيل أكبر من قيمة القسط", "سليم"), "سليم")</f>
        <v>سليم</v>
      </c>
    </row>
    <row r="214" spans="3:12" x14ac:dyDescent="0.25">
      <c r="C214" t="str">
        <f>IF(I214="","",IFERROR(INDEX(المبيعات!$C:$C,MATCH(I214,المبيعات!$A:$A,0)),""))</f>
        <v/>
      </c>
      <c r="L214" t="str">
        <f>IF(AND(J214&lt;&gt;"", E214&lt;&gt;""), IF(E214 &gt; IFERROR(INDEX(جدول [2]الأقساط!$E:$E,MATCH(J214,جدول [2]الأقساط!$A:$A,0)), E214), "⚠️ تحصيل أكبر من قيمة القسط", "سليم"), "سليم")</f>
        <v>سليم</v>
      </c>
    </row>
    <row r="215" spans="3:12" x14ac:dyDescent="0.25">
      <c r="C215" t="str">
        <f>IF(I215="","",IFERROR(INDEX(المبيعات!$C:$C,MATCH(I215,المبيعات!$A:$A,0)),""))</f>
        <v/>
      </c>
      <c r="L215" t="str">
        <f>IF(AND(J215&lt;&gt;"", E215&lt;&gt;""), IF(E215 &gt; IFERROR(INDEX(جدول [2]الأقساط!$E:$E,MATCH(J215,جدول [2]الأقساط!$A:$A,0)), E215), "⚠️ تحصيل أكبر من قيمة القسط", "سليم"), "سليم")</f>
        <v>سليم</v>
      </c>
    </row>
    <row r="216" spans="3:12" x14ac:dyDescent="0.25">
      <c r="C216" t="str">
        <f>IF(I216="","",IFERROR(INDEX(المبيعات!$C:$C,MATCH(I216,المبيعات!$A:$A,0)),""))</f>
        <v/>
      </c>
      <c r="L216" t="str">
        <f>IF(AND(J216&lt;&gt;"", E216&lt;&gt;""), IF(E216 &gt; IFERROR(INDEX(جدول [2]الأقساط!$E:$E,MATCH(J216,جدول [2]الأقساط!$A:$A,0)), E216), "⚠️ تحصيل أكبر من قيمة القسط", "سليم"), "سليم")</f>
        <v>سليم</v>
      </c>
    </row>
    <row r="217" spans="3:12" x14ac:dyDescent="0.25">
      <c r="C217" t="str">
        <f>IF(I217="","",IFERROR(INDEX(المبيعات!$C:$C,MATCH(I217,المبيعات!$A:$A,0)),""))</f>
        <v/>
      </c>
      <c r="L217" t="str">
        <f>IF(AND(J217&lt;&gt;"", E217&lt;&gt;""), IF(E217 &gt; IFERROR(INDEX(جدول [2]الأقساط!$E:$E,MATCH(J217,جدول [2]الأقساط!$A:$A,0)), E217), "⚠️ تحصيل أكبر من قيمة القسط", "سليم"), "سليم")</f>
        <v>سليم</v>
      </c>
    </row>
    <row r="218" spans="3:12" x14ac:dyDescent="0.25">
      <c r="C218" t="str">
        <f>IF(I218="","",IFERROR(INDEX(المبيعات!$C:$C,MATCH(I218,المبيعات!$A:$A,0)),""))</f>
        <v/>
      </c>
      <c r="L218" t="str">
        <f>IF(AND(J218&lt;&gt;"", E218&lt;&gt;""), IF(E218 &gt; IFERROR(INDEX(جدول [2]الأقساط!$E:$E,MATCH(J218,جدول [2]الأقساط!$A:$A,0)), E218), "⚠️ تحصيل أكبر من قيمة القسط", "سليم"), "سليم")</f>
        <v>سليم</v>
      </c>
    </row>
    <row r="219" spans="3:12" x14ac:dyDescent="0.25">
      <c r="C219" t="str">
        <f>IF(I219="","",IFERROR(INDEX(المبيعات!$C:$C,MATCH(I219,المبيعات!$A:$A,0)),""))</f>
        <v/>
      </c>
      <c r="L219" t="str">
        <f>IF(AND(J219&lt;&gt;"", E219&lt;&gt;""), IF(E219 &gt; IFERROR(INDEX(جدول [2]الأقساط!$E:$E,MATCH(J219,جدول [2]الأقساط!$A:$A,0)), E219), "⚠️ تحصيل أكبر من قيمة القسط", "سليم"), "سليم")</f>
        <v>سليم</v>
      </c>
    </row>
    <row r="220" spans="3:12" x14ac:dyDescent="0.25">
      <c r="C220" t="str">
        <f>IF(I220="","",IFERROR(INDEX(المبيعات!$C:$C,MATCH(I220,المبيعات!$A:$A,0)),""))</f>
        <v/>
      </c>
      <c r="L220" t="str">
        <f>IF(AND(J220&lt;&gt;"", E220&lt;&gt;""), IF(E220 &gt; IFERROR(INDEX(جدول [2]الأقساط!$E:$E,MATCH(J220,جدول [2]الأقساط!$A:$A,0)), E220), "⚠️ تحصيل أكبر من قيمة القسط", "سليم"), "سليم")</f>
        <v>سليم</v>
      </c>
    </row>
    <row r="221" spans="3:12" x14ac:dyDescent="0.25">
      <c r="C221" t="str">
        <f>IF(I221="","",IFERROR(INDEX(المبيعات!$C:$C,MATCH(I221,المبيعات!$A:$A,0)),""))</f>
        <v/>
      </c>
      <c r="L221" t="str">
        <f>IF(AND(J221&lt;&gt;"", E221&lt;&gt;""), IF(E221 &gt; IFERROR(INDEX(جدول [2]الأقساط!$E:$E,MATCH(J221,جدول [2]الأقساط!$A:$A,0)), E221), "⚠️ تحصيل أكبر من قيمة القسط", "سليم"), "سليم")</f>
        <v>سليم</v>
      </c>
    </row>
    <row r="222" spans="3:12" x14ac:dyDescent="0.25">
      <c r="C222" t="str">
        <f>IF(I222="","",IFERROR(INDEX(المبيعات!$C:$C,MATCH(I222,المبيعات!$A:$A,0)),""))</f>
        <v/>
      </c>
      <c r="L222" t="str">
        <f>IF(AND(J222&lt;&gt;"", E222&lt;&gt;""), IF(E222 &gt; IFERROR(INDEX(جدول [2]الأقساط!$E:$E,MATCH(J222,جدول [2]الأقساط!$A:$A,0)), E222), "⚠️ تحصيل أكبر من قيمة القسط", "سليم"), "سليم")</f>
        <v>سليم</v>
      </c>
    </row>
    <row r="223" spans="3:12" x14ac:dyDescent="0.25">
      <c r="C223" t="str">
        <f>IF(I223="","",IFERROR(INDEX(المبيعات!$C:$C,MATCH(I223,المبيعات!$A:$A,0)),""))</f>
        <v/>
      </c>
      <c r="L223" t="str">
        <f>IF(AND(J223&lt;&gt;"", E223&lt;&gt;""), IF(E223 &gt; IFERROR(INDEX(جدول [2]الأقساط!$E:$E,MATCH(J223,جدول [2]الأقساط!$A:$A,0)), E223), "⚠️ تحصيل أكبر من قيمة القسط", "سليم"), "سليم")</f>
        <v>سليم</v>
      </c>
    </row>
    <row r="224" spans="3:12" x14ac:dyDescent="0.25">
      <c r="C224" t="str">
        <f>IF(I224="","",IFERROR(INDEX(المبيعات!$C:$C,MATCH(I224,المبيعات!$A:$A,0)),""))</f>
        <v/>
      </c>
      <c r="L224" t="str">
        <f>IF(AND(J224&lt;&gt;"", E224&lt;&gt;""), IF(E224 &gt; IFERROR(INDEX(جدول [2]الأقساط!$E:$E,MATCH(J224,جدول [2]الأقساط!$A:$A,0)), E224), "⚠️ تحصيل أكبر من قيمة القسط", "سليم"), "سليم")</f>
        <v>سليم</v>
      </c>
    </row>
    <row r="225" spans="3:12" x14ac:dyDescent="0.25">
      <c r="C225" t="str">
        <f>IF(I225="","",IFERROR(INDEX(المبيعات!$C:$C,MATCH(I225,المبيعات!$A:$A,0)),""))</f>
        <v/>
      </c>
      <c r="L225" t="str">
        <f>IF(AND(J225&lt;&gt;"", E225&lt;&gt;""), IF(E225 &gt; IFERROR(INDEX(جدول [2]الأقساط!$E:$E,MATCH(J225,جدول [2]الأقساط!$A:$A,0)), E225), "⚠️ تحصيل أكبر من قيمة القسط", "سليم"), "سليم")</f>
        <v>سليم</v>
      </c>
    </row>
    <row r="226" spans="3:12" x14ac:dyDescent="0.25">
      <c r="C226" t="str">
        <f>IF(I226="","",IFERROR(INDEX(المبيعات!$C:$C,MATCH(I226,المبيعات!$A:$A,0)),""))</f>
        <v/>
      </c>
      <c r="L226" t="str">
        <f>IF(AND(J226&lt;&gt;"", E226&lt;&gt;""), IF(E226 &gt; IFERROR(INDEX(جدول [2]الأقساط!$E:$E,MATCH(J226,جدول [2]الأقساط!$A:$A,0)), E226), "⚠️ تحصيل أكبر من قيمة القسط", "سليم"), "سليم")</f>
        <v>سليم</v>
      </c>
    </row>
    <row r="227" spans="3:12" x14ac:dyDescent="0.25">
      <c r="C227" t="str">
        <f>IF(I227="","",IFERROR(INDEX(المبيعات!$C:$C,MATCH(I227,المبيعات!$A:$A,0)),""))</f>
        <v/>
      </c>
      <c r="L227" t="str">
        <f>IF(AND(J227&lt;&gt;"", E227&lt;&gt;""), IF(E227 &gt; IFERROR(INDEX(جدول [2]الأقساط!$E:$E,MATCH(J227,جدول [2]الأقساط!$A:$A,0)), E227), "⚠️ تحصيل أكبر من قيمة القسط", "سليم"), "سليم")</f>
        <v>سليم</v>
      </c>
    </row>
    <row r="228" spans="3:12" x14ac:dyDescent="0.25">
      <c r="C228" t="str">
        <f>IF(I228="","",IFERROR(INDEX(المبيعات!$C:$C,MATCH(I228,المبيعات!$A:$A,0)),""))</f>
        <v/>
      </c>
      <c r="L228" t="str">
        <f>IF(AND(J228&lt;&gt;"", E228&lt;&gt;""), IF(E228 &gt; IFERROR(INDEX(جدول [2]الأقساط!$E:$E,MATCH(J228,جدول [2]الأقساط!$A:$A,0)), E228), "⚠️ تحصيل أكبر من قيمة القسط", "سليم"), "سليم")</f>
        <v>سليم</v>
      </c>
    </row>
    <row r="229" spans="3:12" x14ac:dyDescent="0.25">
      <c r="C229" t="str">
        <f>IF(I229="","",IFERROR(INDEX(المبيعات!$C:$C,MATCH(I229,المبيعات!$A:$A,0)),""))</f>
        <v/>
      </c>
      <c r="L229" t="str">
        <f>IF(AND(J229&lt;&gt;"", E229&lt;&gt;""), IF(E229 &gt; IFERROR(INDEX(جدول [2]الأقساط!$E:$E,MATCH(J229,جدول [2]الأقساط!$A:$A,0)), E229), "⚠️ تحصيل أكبر من قيمة القسط", "سليم"), "سليم")</f>
        <v>سليم</v>
      </c>
    </row>
    <row r="230" spans="3:12" x14ac:dyDescent="0.25">
      <c r="C230" t="str">
        <f>IF(I230="","",IFERROR(INDEX(المبيعات!$C:$C,MATCH(I230,المبيعات!$A:$A,0)),""))</f>
        <v/>
      </c>
      <c r="L230" t="str">
        <f>IF(AND(J230&lt;&gt;"", E230&lt;&gt;""), IF(E230 &gt; IFERROR(INDEX(جدول [2]الأقساط!$E:$E,MATCH(J230,جدول [2]الأقساط!$A:$A,0)), E230), "⚠️ تحصيل أكبر من قيمة القسط", "سليم"), "سليم")</f>
        <v>سليم</v>
      </c>
    </row>
    <row r="231" spans="3:12" x14ac:dyDescent="0.25">
      <c r="C231" t="str">
        <f>IF(I231="","",IFERROR(INDEX(المبيعات!$C:$C,MATCH(I231,المبيعات!$A:$A,0)),""))</f>
        <v/>
      </c>
      <c r="L231" t="str">
        <f>IF(AND(J231&lt;&gt;"", E231&lt;&gt;""), IF(E231 &gt; IFERROR(INDEX(جدول [2]الأقساط!$E:$E,MATCH(J231,جدول [2]الأقساط!$A:$A,0)), E231), "⚠️ تحصيل أكبر من قيمة القسط", "سليم"), "سليم")</f>
        <v>سليم</v>
      </c>
    </row>
    <row r="232" spans="3:12" x14ac:dyDescent="0.25">
      <c r="C232" t="str">
        <f>IF(I232="","",IFERROR(INDEX(المبيعات!$C:$C,MATCH(I232,المبيعات!$A:$A,0)),""))</f>
        <v/>
      </c>
      <c r="L232" t="str">
        <f>IF(AND(J232&lt;&gt;"", E232&lt;&gt;""), IF(E232 &gt; IFERROR(INDEX(جدول [2]الأقساط!$E:$E,MATCH(J232,جدول [2]الأقساط!$A:$A,0)), E232), "⚠️ تحصيل أكبر من قيمة القسط", "سليم"), "سليم")</f>
        <v>سليم</v>
      </c>
    </row>
    <row r="233" spans="3:12" x14ac:dyDescent="0.25">
      <c r="C233" t="str">
        <f>IF(I233="","",IFERROR(INDEX(المبيعات!$C:$C,MATCH(I233,المبيعات!$A:$A,0)),""))</f>
        <v/>
      </c>
      <c r="L233" t="str">
        <f>IF(AND(J233&lt;&gt;"", E233&lt;&gt;""), IF(E233 &gt; IFERROR(INDEX(جدول [2]الأقساط!$E:$E,MATCH(J233,جدول [2]الأقساط!$A:$A,0)), E233), "⚠️ تحصيل أكبر من قيمة القسط", "سليم"), "سليم")</f>
        <v>سليم</v>
      </c>
    </row>
    <row r="234" spans="3:12" x14ac:dyDescent="0.25">
      <c r="C234" t="str">
        <f>IF(I234="","",IFERROR(INDEX(المبيعات!$C:$C,MATCH(I234,المبيعات!$A:$A,0)),""))</f>
        <v/>
      </c>
      <c r="L234" t="str">
        <f>IF(AND(J234&lt;&gt;"", E234&lt;&gt;""), IF(E234 &gt; IFERROR(INDEX(جدول [2]الأقساط!$E:$E,MATCH(J234,جدول [2]الأقساط!$A:$A,0)), E234), "⚠️ تحصيل أكبر من قيمة القسط", "سليم"), "سليم")</f>
        <v>سليم</v>
      </c>
    </row>
    <row r="235" spans="3:12" x14ac:dyDescent="0.25">
      <c r="C235" t="str">
        <f>IF(I235="","",IFERROR(INDEX(المبيعات!$C:$C,MATCH(I235,المبيعات!$A:$A,0)),""))</f>
        <v/>
      </c>
      <c r="L235" t="str">
        <f>IF(AND(J235&lt;&gt;"", E235&lt;&gt;""), IF(E235 &gt; IFERROR(INDEX(جدول [2]الأقساط!$E:$E,MATCH(J235,جدول [2]الأقساط!$A:$A,0)), E235), "⚠️ تحصيل أكبر من قيمة القسط", "سليم"), "سليم")</f>
        <v>سليم</v>
      </c>
    </row>
    <row r="236" spans="3:12" x14ac:dyDescent="0.25">
      <c r="C236" t="str">
        <f>IF(I236="","",IFERROR(INDEX(المبيعات!$C:$C,MATCH(I236,المبيعات!$A:$A,0)),""))</f>
        <v/>
      </c>
      <c r="L236" t="str">
        <f>IF(AND(J236&lt;&gt;"", E236&lt;&gt;""), IF(E236 &gt; IFERROR(INDEX(جدول [2]الأقساط!$E:$E,MATCH(J236,جدول [2]الأقساط!$A:$A,0)), E236), "⚠️ تحصيل أكبر من قيمة القسط", "سليم"), "سليم")</f>
        <v>سليم</v>
      </c>
    </row>
    <row r="237" spans="3:12" x14ac:dyDescent="0.25">
      <c r="C237" t="str">
        <f>IF(I237="","",IFERROR(INDEX(المبيعات!$C:$C,MATCH(I237,المبيعات!$A:$A,0)),""))</f>
        <v/>
      </c>
      <c r="L237" t="str">
        <f>IF(AND(J237&lt;&gt;"", E237&lt;&gt;""), IF(E237 &gt; IFERROR(INDEX(جدول [2]الأقساط!$E:$E,MATCH(J237,جدول [2]الأقساط!$A:$A,0)), E237), "⚠️ تحصيل أكبر من قيمة القسط", "سليم"), "سليم")</f>
        <v>سليم</v>
      </c>
    </row>
    <row r="238" spans="3:12" x14ac:dyDescent="0.25">
      <c r="C238" t="str">
        <f>IF(I238="","",IFERROR(INDEX(المبيعات!$C:$C,MATCH(I238,المبيعات!$A:$A,0)),""))</f>
        <v/>
      </c>
      <c r="L238" t="str">
        <f>IF(AND(J238&lt;&gt;"", E238&lt;&gt;""), IF(E238 &gt; IFERROR(INDEX(جدول [2]الأقساط!$E:$E,MATCH(J238,جدول [2]الأقساط!$A:$A,0)), E238), "⚠️ تحصيل أكبر من قيمة القسط", "سليم"), "سليم")</f>
        <v>سليم</v>
      </c>
    </row>
    <row r="239" spans="3:12" x14ac:dyDescent="0.25">
      <c r="C239" t="str">
        <f>IF(I239="","",IFERROR(INDEX(المبيعات!$C:$C,MATCH(I239,المبيعات!$A:$A,0)),""))</f>
        <v/>
      </c>
      <c r="L239" t="str">
        <f>IF(AND(J239&lt;&gt;"", E239&lt;&gt;""), IF(E239 &gt; IFERROR(INDEX(جدول [2]الأقساط!$E:$E,MATCH(J239,جدول [2]الأقساط!$A:$A,0)), E239), "⚠️ تحصيل أكبر من قيمة القسط", "سليم"), "سليم")</f>
        <v>سليم</v>
      </c>
    </row>
    <row r="240" spans="3:12" x14ac:dyDescent="0.25">
      <c r="C240" t="str">
        <f>IF(I240="","",IFERROR(INDEX(المبيعات!$C:$C,MATCH(I240,المبيعات!$A:$A,0)),""))</f>
        <v/>
      </c>
      <c r="L240" t="str">
        <f>IF(AND(J240&lt;&gt;"", E240&lt;&gt;""), IF(E240 &gt; IFERROR(INDEX(جدول [2]الأقساط!$E:$E,MATCH(J240,جدول [2]الأقساط!$A:$A,0)), E240), "⚠️ تحصيل أكبر من قيمة القسط", "سليم"), "سليم")</f>
        <v>سليم</v>
      </c>
    </row>
    <row r="241" spans="3:12" x14ac:dyDescent="0.25">
      <c r="C241" t="str">
        <f>IF(I241="","",IFERROR(INDEX(المبيعات!$C:$C,MATCH(I241,المبيعات!$A:$A,0)),""))</f>
        <v/>
      </c>
      <c r="L241" t="str">
        <f>IF(AND(J241&lt;&gt;"", E241&lt;&gt;""), IF(E241 &gt; IFERROR(INDEX(جدول [2]الأقساط!$E:$E,MATCH(J241,جدول [2]الأقساط!$A:$A,0)), E241), "⚠️ تحصيل أكبر من قيمة القسط", "سليم"), "سليم")</f>
        <v>سليم</v>
      </c>
    </row>
    <row r="242" spans="3:12" x14ac:dyDescent="0.25">
      <c r="C242" t="str">
        <f>IF(I242="","",IFERROR(INDEX(المبيعات!$C:$C,MATCH(I242,المبيعات!$A:$A,0)),""))</f>
        <v/>
      </c>
      <c r="L242" t="str">
        <f>IF(AND(J242&lt;&gt;"", E242&lt;&gt;""), IF(E242 &gt; IFERROR(INDEX(جدول [2]الأقساط!$E:$E,MATCH(J242,جدول [2]الأقساط!$A:$A,0)), E242), "⚠️ تحصيل أكبر من قيمة القسط", "سليم"), "سليم")</f>
        <v>سليم</v>
      </c>
    </row>
    <row r="243" spans="3:12" x14ac:dyDescent="0.25">
      <c r="C243" t="str">
        <f>IF(I243="","",IFERROR(INDEX(المبيعات!$C:$C,MATCH(I243,المبيعات!$A:$A,0)),""))</f>
        <v/>
      </c>
      <c r="L243" t="str">
        <f>IF(AND(J243&lt;&gt;"", E243&lt;&gt;""), IF(E243 &gt; IFERROR(INDEX(جدول [2]الأقساط!$E:$E,MATCH(J243,جدول [2]الأقساط!$A:$A,0)), E243), "⚠️ تحصيل أكبر من قيمة القسط", "سليم"), "سليم")</f>
        <v>سليم</v>
      </c>
    </row>
    <row r="244" spans="3:12" x14ac:dyDescent="0.25">
      <c r="C244" t="str">
        <f>IF(I244="","",IFERROR(INDEX(المبيعات!$C:$C,MATCH(I244,المبيعات!$A:$A,0)),""))</f>
        <v/>
      </c>
      <c r="L244" t="str">
        <f>IF(AND(J244&lt;&gt;"", E244&lt;&gt;""), IF(E244 &gt; IFERROR(INDEX(جدول [2]الأقساط!$E:$E,MATCH(J244,جدول [2]الأقساط!$A:$A,0)), E244), "⚠️ تحصيل أكبر من قيمة القسط", "سليم"), "سليم")</f>
        <v>سليم</v>
      </c>
    </row>
    <row r="245" spans="3:12" x14ac:dyDescent="0.25">
      <c r="C245" t="str">
        <f>IF(I245="","",IFERROR(INDEX(المبيعات!$C:$C,MATCH(I245,المبيعات!$A:$A,0)),""))</f>
        <v/>
      </c>
      <c r="L245" t="str">
        <f>IF(AND(J245&lt;&gt;"", E245&lt;&gt;""), IF(E245 &gt; IFERROR(INDEX(جدول [2]الأقساط!$E:$E,MATCH(J245,جدول [2]الأقساط!$A:$A,0)), E245), "⚠️ تحصيل أكبر من قيمة القسط", "سليم"), "سليم")</f>
        <v>سليم</v>
      </c>
    </row>
    <row r="246" spans="3:12" x14ac:dyDescent="0.25">
      <c r="C246" t="str">
        <f>IF(I246="","",IFERROR(INDEX(المبيعات!$C:$C,MATCH(I246,المبيعات!$A:$A,0)),""))</f>
        <v/>
      </c>
      <c r="L246" t="str">
        <f>IF(AND(J246&lt;&gt;"", E246&lt;&gt;""), IF(E246 &gt; IFERROR(INDEX(جدول [2]الأقساط!$E:$E,MATCH(J246,جدول [2]الأقساط!$A:$A,0)), E246), "⚠️ تحصيل أكبر من قيمة القسط", "سليم"), "سليم")</f>
        <v>سليم</v>
      </c>
    </row>
    <row r="247" spans="3:12" x14ac:dyDescent="0.25">
      <c r="C247" t="str">
        <f>IF(I247="","",IFERROR(INDEX(المبيعات!$C:$C,MATCH(I247,المبيعات!$A:$A,0)),""))</f>
        <v/>
      </c>
      <c r="L247" t="str">
        <f>IF(AND(J247&lt;&gt;"", E247&lt;&gt;""), IF(E247 &gt; IFERROR(INDEX(جدول [2]الأقساط!$E:$E,MATCH(J247,جدول [2]الأقساط!$A:$A,0)), E247), "⚠️ تحصيل أكبر من قيمة القسط", "سليم"), "سليم")</f>
        <v>سليم</v>
      </c>
    </row>
    <row r="248" spans="3:12" x14ac:dyDescent="0.25">
      <c r="C248" t="str">
        <f>IF(I248="","",IFERROR(INDEX(المبيعات!$C:$C,MATCH(I248,المبيعات!$A:$A,0)),""))</f>
        <v/>
      </c>
      <c r="L248" t="str">
        <f>IF(AND(J248&lt;&gt;"", E248&lt;&gt;""), IF(E248 &gt; IFERROR(INDEX(جدول [2]الأقساط!$E:$E,MATCH(J248,جدول [2]الأقساط!$A:$A,0)), E248), "⚠️ تحصيل أكبر من قيمة القسط", "سليم"), "سليم")</f>
        <v>سليم</v>
      </c>
    </row>
    <row r="249" spans="3:12" x14ac:dyDescent="0.25">
      <c r="C249" t="str">
        <f>IF(I249="","",IFERROR(INDEX(المبيعات!$C:$C,MATCH(I249,المبيعات!$A:$A,0)),""))</f>
        <v/>
      </c>
      <c r="L249" t="str">
        <f>IF(AND(J249&lt;&gt;"", E249&lt;&gt;""), IF(E249 &gt; IFERROR(INDEX(جدول [2]الأقساط!$E:$E,MATCH(J249,جدول [2]الأقساط!$A:$A,0)), E249), "⚠️ تحصيل أكبر من قيمة القسط", "سليم"), "سليم")</f>
        <v>سليم</v>
      </c>
    </row>
    <row r="250" spans="3:12" x14ac:dyDescent="0.25">
      <c r="C250" t="str">
        <f>IF(I250="","",IFERROR(INDEX(المبيعات!$C:$C,MATCH(I250,المبيعات!$A:$A,0)),""))</f>
        <v/>
      </c>
      <c r="L250" t="str">
        <f>IF(AND(J250&lt;&gt;"", E250&lt;&gt;""), IF(E250 &gt; IFERROR(INDEX(جدول [2]الأقساط!$E:$E,MATCH(J250,جدول [2]الأقساط!$A:$A,0)), E250), "⚠️ تحصيل أكبر من قيمة القسط", "سليم"), "سليم")</f>
        <v>سليم</v>
      </c>
    </row>
    <row r="251" spans="3:12" x14ac:dyDescent="0.25">
      <c r="C251" t="str">
        <f>IF(I251="","",IFERROR(INDEX(المبيعات!$C:$C,MATCH(I251,المبيعات!$A:$A,0)),""))</f>
        <v/>
      </c>
      <c r="L251" t="str">
        <f>IF(AND(J251&lt;&gt;"", E251&lt;&gt;""), IF(E251 &gt; IFERROR(INDEX(جدول [2]الأقساط!$E:$E,MATCH(J251,جدول [2]الأقساط!$A:$A,0)), E251), "⚠️ تحصيل أكبر من قيمة القسط", "سليم"), "سليم")</f>
        <v>سليم</v>
      </c>
    </row>
    <row r="252" spans="3:12" x14ac:dyDescent="0.25">
      <c r="C252" t="str">
        <f>IF(I252="","",IFERROR(INDEX(المبيعات!$C:$C,MATCH(I252,المبيعات!$A:$A,0)),""))</f>
        <v/>
      </c>
      <c r="L252" t="str">
        <f>IF(AND(J252&lt;&gt;"", E252&lt;&gt;""), IF(E252 &gt; IFERROR(INDEX(جدول [2]الأقساط!$E:$E,MATCH(J252,جدول [2]الأقساط!$A:$A,0)), E252), "⚠️ تحصيل أكبر من قيمة القسط", "سليم"), "سليم")</f>
        <v>سليم</v>
      </c>
    </row>
    <row r="253" spans="3:12" x14ac:dyDescent="0.25">
      <c r="C253" t="str">
        <f>IF(I253="","",IFERROR(INDEX(المبيعات!$C:$C,MATCH(I253,المبيعات!$A:$A,0)),""))</f>
        <v/>
      </c>
      <c r="L253" t="str">
        <f>IF(AND(J253&lt;&gt;"", E253&lt;&gt;""), IF(E253 &gt; IFERROR(INDEX(جدول [2]الأقساط!$E:$E,MATCH(J253,جدول [2]الأقساط!$A:$A,0)), E253), "⚠️ تحصيل أكبر من قيمة القسط", "سليم"), "سليم")</f>
        <v>سليم</v>
      </c>
    </row>
    <row r="254" spans="3:12" x14ac:dyDescent="0.25">
      <c r="C254" t="str">
        <f>IF(I254="","",IFERROR(INDEX(المبيعات!$C:$C,MATCH(I254,المبيعات!$A:$A,0)),""))</f>
        <v/>
      </c>
      <c r="L254" t="str">
        <f>IF(AND(J254&lt;&gt;"", E254&lt;&gt;""), IF(E254 &gt; IFERROR(INDEX(جدول [2]الأقساط!$E:$E,MATCH(J254,جدول [2]الأقساط!$A:$A,0)), E254), "⚠️ تحصيل أكبر من قيمة القسط", "سليم"), "سليم")</f>
        <v>سليم</v>
      </c>
    </row>
    <row r="255" spans="3:12" x14ac:dyDescent="0.25">
      <c r="C255" t="str">
        <f>IF(I255="","",IFERROR(INDEX(المبيعات!$C:$C,MATCH(I255,المبيعات!$A:$A,0)),""))</f>
        <v/>
      </c>
      <c r="L255" t="str">
        <f>IF(AND(J255&lt;&gt;"", E255&lt;&gt;""), IF(E255 &gt; IFERROR(INDEX(جدول [2]الأقساط!$E:$E,MATCH(J255,جدول [2]الأقساط!$A:$A,0)), E255), "⚠️ تحصيل أكبر من قيمة القسط", "سليم"), "سليم")</f>
        <v>سليم</v>
      </c>
    </row>
    <row r="256" spans="3:12" x14ac:dyDescent="0.25">
      <c r="C256" t="str">
        <f>IF(I256="","",IFERROR(INDEX(المبيعات!$C:$C,MATCH(I256,المبيعات!$A:$A,0)),""))</f>
        <v/>
      </c>
      <c r="L256" t="str">
        <f>IF(AND(J256&lt;&gt;"", E256&lt;&gt;""), IF(E256 &gt; IFERROR(INDEX(جدول [2]الأقساط!$E:$E,MATCH(J256,جدول [2]الأقساط!$A:$A,0)), E256), "⚠️ تحصيل أكبر من قيمة القسط", "سليم"), "سليم")</f>
        <v>سليم</v>
      </c>
    </row>
    <row r="257" spans="3:12" x14ac:dyDescent="0.25">
      <c r="C257" t="str">
        <f>IF(I257="","",IFERROR(INDEX(المبيعات!$C:$C,MATCH(I257,المبيعات!$A:$A,0)),""))</f>
        <v/>
      </c>
      <c r="L257" t="str">
        <f>IF(AND(J257&lt;&gt;"", E257&lt;&gt;""), IF(E257 &gt; IFERROR(INDEX(جدول [2]الأقساط!$E:$E,MATCH(J257,جدول [2]الأقساط!$A:$A,0)), E257), "⚠️ تحصيل أكبر من قيمة القسط", "سليم"), "سليم")</f>
        <v>سليم</v>
      </c>
    </row>
    <row r="258" spans="3:12" x14ac:dyDescent="0.25">
      <c r="C258" t="str">
        <f>IF(I258="","",IFERROR(INDEX(المبيعات!$C:$C,MATCH(I258,المبيعات!$A:$A,0)),""))</f>
        <v/>
      </c>
      <c r="L258" t="str">
        <f>IF(AND(J258&lt;&gt;"", E258&lt;&gt;""), IF(E258 &gt; IFERROR(INDEX(جدول [2]الأقساط!$E:$E,MATCH(J258,جدول [2]الأقساط!$A:$A,0)), E258), "⚠️ تحصيل أكبر من قيمة القسط", "سليم"), "سليم")</f>
        <v>سليم</v>
      </c>
    </row>
    <row r="259" spans="3:12" x14ac:dyDescent="0.25">
      <c r="C259" t="str">
        <f>IF(I259="","",IFERROR(INDEX(المبيعات!$C:$C,MATCH(I259,المبيعات!$A:$A,0)),""))</f>
        <v/>
      </c>
      <c r="L259" t="str">
        <f>IF(AND(J259&lt;&gt;"", E259&lt;&gt;""), IF(E259 &gt; IFERROR(INDEX(جدول [2]الأقساط!$E:$E,MATCH(J259,جدول [2]الأقساط!$A:$A,0)), E259), "⚠️ تحصيل أكبر من قيمة القسط", "سليم"), "سليم")</f>
        <v>سليم</v>
      </c>
    </row>
    <row r="260" spans="3:12" x14ac:dyDescent="0.25">
      <c r="C260" t="str">
        <f>IF(I260="","",IFERROR(INDEX(المبيعات!$C:$C,MATCH(I260,المبيعات!$A:$A,0)),""))</f>
        <v/>
      </c>
      <c r="L260" t="str">
        <f>IF(AND(J260&lt;&gt;"", E260&lt;&gt;""), IF(E260 &gt; IFERROR(INDEX(جدول [2]الأقساط!$E:$E,MATCH(J260,جدول [2]الأقساط!$A:$A,0)), E260), "⚠️ تحصيل أكبر من قيمة القسط", "سليم"), "سليم")</f>
        <v>سليم</v>
      </c>
    </row>
    <row r="261" spans="3:12" x14ac:dyDescent="0.25">
      <c r="C261" t="str">
        <f>IF(I261="","",IFERROR(INDEX(المبيعات!$C:$C,MATCH(I261,المبيعات!$A:$A,0)),""))</f>
        <v/>
      </c>
      <c r="L261" t="str">
        <f>IF(AND(J261&lt;&gt;"", E261&lt;&gt;""), IF(E261 &gt; IFERROR(INDEX(جدول [2]الأقساط!$E:$E,MATCH(J261,جدول [2]الأقساط!$A:$A,0)), E261), "⚠️ تحصيل أكبر من قيمة القسط", "سليم"), "سليم")</f>
        <v>سليم</v>
      </c>
    </row>
    <row r="262" spans="3:12" x14ac:dyDescent="0.25">
      <c r="C262" t="str">
        <f>IF(I262="","",IFERROR(INDEX(المبيعات!$C:$C,MATCH(I262,المبيعات!$A:$A,0)),""))</f>
        <v/>
      </c>
      <c r="L262" t="str">
        <f>IF(AND(J262&lt;&gt;"", E262&lt;&gt;""), IF(E262 &gt; IFERROR(INDEX(جدول [2]الأقساط!$E:$E,MATCH(J262,جدول [2]الأقساط!$A:$A,0)), E262), "⚠️ تحصيل أكبر من قيمة القسط", "سليم"), "سليم")</f>
        <v>سليم</v>
      </c>
    </row>
    <row r="263" spans="3:12" x14ac:dyDescent="0.25">
      <c r="C263" t="str">
        <f>IF(I263="","",IFERROR(INDEX(المبيعات!$C:$C,MATCH(I263,المبيعات!$A:$A,0)),""))</f>
        <v/>
      </c>
      <c r="L263" t="str">
        <f>IF(AND(J263&lt;&gt;"", E263&lt;&gt;""), IF(E263 &gt; IFERROR(INDEX(جدول [2]الأقساط!$E:$E,MATCH(J263,جدول [2]الأقساط!$A:$A,0)), E263), "⚠️ تحصيل أكبر من قيمة القسط", "سليم"), "سليم")</f>
        <v>سليم</v>
      </c>
    </row>
    <row r="264" spans="3:12" x14ac:dyDescent="0.25">
      <c r="C264" t="str">
        <f>IF(I264="","",IFERROR(INDEX(المبيعات!$C:$C,MATCH(I264,المبيعات!$A:$A,0)),""))</f>
        <v/>
      </c>
      <c r="L264" t="str">
        <f>IF(AND(J264&lt;&gt;"", E264&lt;&gt;""), IF(E264 &gt; IFERROR(INDEX(جدول [2]الأقساط!$E:$E,MATCH(J264,جدول [2]الأقساط!$A:$A,0)), E264), "⚠️ تحصيل أكبر من قيمة القسط", "سليم"), "سليم")</f>
        <v>سليم</v>
      </c>
    </row>
    <row r="265" spans="3:12" x14ac:dyDescent="0.25">
      <c r="C265" t="str">
        <f>IF(I265="","",IFERROR(INDEX(المبيعات!$C:$C,MATCH(I265,المبيعات!$A:$A,0)),""))</f>
        <v/>
      </c>
      <c r="L265" t="str">
        <f>IF(AND(J265&lt;&gt;"", E265&lt;&gt;""), IF(E265 &gt; IFERROR(INDEX(جدول [2]الأقساط!$E:$E,MATCH(J265,جدول [2]الأقساط!$A:$A,0)), E265), "⚠️ تحصيل أكبر من قيمة القسط", "سليم"), "سليم")</f>
        <v>سليم</v>
      </c>
    </row>
    <row r="266" spans="3:12" x14ac:dyDescent="0.25">
      <c r="C266" t="str">
        <f>IF(I266="","",IFERROR(INDEX(المبيعات!$C:$C,MATCH(I266,المبيعات!$A:$A,0)),""))</f>
        <v/>
      </c>
      <c r="L266" t="str">
        <f>IF(AND(J266&lt;&gt;"", E266&lt;&gt;""), IF(E266 &gt; IFERROR(INDEX(جدول [2]الأقساط!$E:$E,MATCH(J266,جدول [2]الأقساط!$A:$A,0)), E266), "⚠️ تحصيل أكبر من قيمة القسط", "سليم"), "سليم")</f>
        <v>سليم</v>
      </c>
    </row>
    <row r="267" spans="3:12" x14ac:dyDescent="0.25">
      <c r="C267" t="str">
        <f>IF(I267="","",IFERROR(INDEX(المبيعات!$C:$C,MATCH(I267,المبيعات!$A:$A,0)),""))</f>
        <v/>
      </c>
      <c r="L267" t="str">
        <f>IF(AND(J267&lt;&gt;"", E267&lt;&gt;""), IF(E267 &gt; IFERROR(INDEX(جدول [2]الأقساط!$E:$E,MATCH(J267,جدول [2]الأقساط!$A:$A,0)), E267), "⚠️ تحصيل أكبر من قيمة القسط", "سليم"), "سليم")</f>
        <v>سليم</v>
      </c>
    </row>
    <row r="268" spans="3:12" x14ac:dyDescent="0.25">
      <c r="C268" t="str">
        <f>IF(I268="","",IFERROR(INDEX(المبيعات!$C:$C,MATCH(I268,المبيعات!$A:$A,0)),""))</f>
        <v/>
      </c>
      <c r="L268" t="str">
        <f>IF(AND(J268&lt;&gt;"", E268&lt;&gt;""), IF(E268 &gt; IFERROR(INDEX(جدول [2]الأقساط!$E:$E,MATCH(J268,جدول [2]الأقساط!$A:$A,0)), E268), "⚠️ تحصيل أكبر من قيمة القسط", "سليم"), "سليم")</f>
        <v>سليم</v>
      </c>
    </row>
    <row r="269" spans="3:12" x14ac:dyDescent="0.25">
      <c r="C269" t="str">
        <f>IF(I269="","",IFERROR(INDEX(المبيعات!$C:$C,MATCH(I269,المبيعات!$A:$A,0)),""))</f>
        <v/>
      </c>
      <c r="L269" t="str">
        <f>IF(AND(J269&lt;&gt;"", E269&lt;&gt;""), IF(E269 &gt; IFERROR(INDEX(جدول [2]الأقساط!$E:$E,MATCH(J269,جدول [2]الأقساط!$A:$A,0)), E269), "⚠️ تحصيل أكبر من قيمة القسط", "سليم"), "سليم")</f>
        <v>سليم</v>
      </c>
    </row>
    <row r="270" spans="3:12" x14ac:dyDescent="0.25">
      <c r="C270" t="str">
        <f>IF(I270="","",IFERROR(INDEX(المبيعات!$C:$C,MATCH(I270,المبيعات!$A:$A,0)),""))</f>
        <v/>
      </c>
      <c r="L270" t="str">
        <f>IF(AND(J270&lt;&gt;"", E270&lt;&gt;""), IF(E270 &gt; IFERROR(INDEX(جدول [2]الأقساط!$E:$E,MATCH(J270,جدول [2]الأقساط!$A:$A,0)), E270), "⚠️ تحصيل أكبر من قيمة القسط", "سليم"), "سليم")</f>
        <v>سليم</v>
      </c>
    </row>
    <row r="271" spans="3:12" x14ac:dyDescent="0.25">
      <c r="C271" t="str">
        <f>IF(I271="","",IFERROR(INDEX(المبيعات!$C:$C,MATCH(I271,المبيعات!$A:$A,0)),""))</f>
        <v/>
      </c>
      <c r="L271" t="str">
        <f>IF(AND(J271&lt;&gt;"", E271&lt;&gt;""), IF(E271 &gt; IFERROR(INDEX(جدول [2]الأقساط!$E:$E,MATCH(J271,جدول [2]الأقساط!$A:$A,0)), E271), "⚠️ تحصيل أكبر من قيمة القسط", "سليم"), "سليم")</f>
        <v>سليم</v>
      </c>
    </row>
    <row r="272" spans="3:12" x14ac:dyDescent="0.25">
      <c r="C272" t="str">
        <f>IF(I272="","",IFERROR(INDEX(المبيعات!$C:$C,MATCH(I272,المبيعات!$A:$A,0)),""))</f>
        <v/>
      </c>
      <c r="L272" t="str">
        <f>IF(AND(J272&lt;&gt;"", E272&lt;&gt;""), IF(E272 &gt; IFERROR(INDEX(جدول [2]الأقساط!$E:$E,MATCH(J272,جدول [2]الأقساط!$A:$A,0)), E272), "⚠️ تحصيل أكبر من قيمة القسط", "سليم"), "سليم")</f>
        <v>سليم</v>
      </c>
    </row>
    <row r="273" spans="3:12" x14ac:dyDescent="0.25">
      <c r="C273" t="str">
        <f>IF(I273="","",IFERROR(INDEX(المبيعات!$C:$C,MATCH(I273,المبيعات!$A:$A,0)),""))</f>
        <v/>
      </c>
      <c r="L273" t="str">
        <f>IF(AND(J273&lt;&gt;"", E273&lt;&gt;""), IF(E273 &gt; IFERROR(INDEX(جدول [2]الأقساط!$E:$E,MATCH(J273,جدول [2]الأقساط!$A:$A,0)), E273), "⚠️ تحصيل أكبر من قيمة القسط", "سليم"), "سليم")</f>
        <v>سليم</v>
      </c>
    </row>
    <row r="274" spans="3:12" x14ac:dyDescent="0.25">
      <c r="C274" t="str">
        <f>IF(I274="","",IFERROR(INDEX(المبيعات!$C:$C,MATCH(I274,المبيعات!$A:$A,0)),""))</f>
        <v/>
      </c>
      <c r="L274" t="str">
        <f>IF(AND(J274&lt;&gt;"", E274&lt;&gt;""), IF(E274 &gt; IFERROR(INDEX(جدول [2]الأقساط!$E:$E,MATCH(J274,جدول [2]الأقساط!$A:$A,0)), E274), "⚠️ تحصيل أكبر من قيمة القسط", "سليم"), "سليم")</f>
        <v>سليم</v>
      </c>
    </row>
    <row r="275" spans="3:12" x14ac:dyDescent="0.25">
      <c r="C275" t="str">
        <f>IF(I275="","",IFERROR(INDEX(المبيعات!$C:$C,MATCH(I275,المبيعات!$A:$A,0)),""))</f>
        <v/>
      </c>
      <c r="L275" t="str">
        <f>IF(AND(J275&lt;&gt;"", E275&lt;&gt;""), IF(E275 &gt; IFERROR(INDEX(جدول [2]الأقساط!$E:$E,MATCH(J275,جدول [2]الأقساط!$A:$A,0)), E275), "⚠️ تحصيل أكبر من قيمة القسط", "سليم"), "سليم")</f>
        <v>سليم</v>
      </c>
    </row>
    <row r="276" spans="3:12" x14ac:dyDescent="0.25">
      <c r="C276" t="str">
        <f>IF(I276="","",IFERROR(INDEX(المبيعات!$C:$C,MATCH(I276,المبيعات!$A:$A,0)),""))</f>
        <v/>
      </c>
      <c r="L276" t="str">
        <f>IF(AND(J276&lt;&gt;"", E276&lt;&gt;""), IF(E276 &gt; IFERROR(INDEX(جدول [2]الأقساط!$E:$E,MATCH(J276,جدول [2]الأقساط!$A:$A,0)), E276), "⚠️ تحصيل أكبر من قيمة القسط", "سليم"), "سليم")</f>
        <v>سليم</v>
      </c>
    </row>
    <row r="277" spans="3:12" x14ac:dyDescent="0.25">
      <c r="C277" t="str">
        <f>IF(I277="","",IFERROR(INDEX(المبيعات!$C:$C,MATCH(I277,المبيعات!$A:$A,0)),""))</f>
        <v/>
      </c>
      <c r="L277" t="str">
        <f>IF(AND(J277&lt;&gt;"", E277&lt;&gt;""), IF(E277 &gt; IFERROR(INDEX(جدول [2]الأقساط!$E:$E,MATCH(J277,جدول [2]الأقساط!$A:$A,0)), E277), "⚠️ تحصيل أكبر من قيمة القسط", "سليم"), "سليم")</f>
        <v>سليم</v>
      </c>
    </row>
    <row r="278" spans="3:12" x14ac:dyDescent="0.25">
      <c r="C278" t="str">
        <f>IF(I278="","",IFERROR(INDEX(المبيعات!$C:$C,MATCH(I278,المبيعات!$A:$A,0)),""))</f>
        <v/>
      </c>
      <c r="L278" t="str">
        <f>IF(AND(J278&lt;&gt;"", E278&lt;&gt;""), IF(E278 &gt; IFERROR(INDEX(جدول [2]الأقساط!$E:$E,MATCH(J278,جدول [2]الأقساط!$A:$A,0)), E278), "⚠️ تحصيل أكبر من قيمة القسط", "سليم"), "سليم")</f>
        <v>سليم</v>
      </c>
    </row>
    <row r="279" spans="3:12" x14ac:dyDescent="0.25">
      <c r="C279" t="str">
        <f>IF(I279="","",IFERROR(INDEX(المبيعات!$C:$C,MATCH(I279,المبيعات!$A:$A,0)),""))</f>
        <v/>
      </c>
      <c r="L279" t="str">
        <f>IF(AND(J279&lt;&gt;"", E279&lt;&gt;""), IF(E279 &gt; IFERROR(INDEX(جدول [2]الأقساط!$E:$E,MATCH(J279,جدول [2]الأقساط!$A:$A,0)), E279), "⚠️ تحصيل أكبر من قيمة القسط", "سليم"), "سليم")</f>
        <v>سليم</v>
      </c>
    </row>
    <row r="280" spans="3:12" x14ac:dyDescent="0.25">
      <c r="C280" t="str">
        <f>IF(I280="","",IFERROR(INDEX(المبيعات!$C:$C,MATCH(I280,المبيعات!$A:$A,0)),""))</f>
        <v/>
      </c>
      <c r="L280" t="str">
        <f>IF(AND(J280&lt;&gt;"", E280&lt;&gt;""), IF(E280 &gt; IFERROR(INDEX(جدول [2]الأقساط!$E:$E,MATCH(J280,جدول [2]الأقساط!$A:$A,0)), E280), "⚠️ تحصيل أكبر من قيمة القسط", "سليم"), "سليم")</f>
        <v>سليم</v>
      </c>
    </row>
    <row r="281" spans="3:12" x14ac:dyDescent="0.25">
      <c r="C281" t="str">
        <f>IF(I281="","",IFERROR(INDEX(المبيعات!$C:$C,MATCH(I281,المبيعات!$A:$A,0)),""))</f>
        <v/>
      </c>
      <c r="L281" t="str">
        <f>IF(AND(J281&lt;&gt;"", E281&lt;&gt;""), IF(E281 &gt; IFERROR(INDEX(جدول [2]الأقساط!$E:$E,MATCH(J281,جدول [2]الأقساط!$A:$A,0)), E281), "⚠️ تحصيل أكبر من قيمة القسط", "سليم"), "سليم")</f>
        <v>سليم</v>
      </c>
    </row>
    <row r="282" spans="3:12" x14ac:dyDescent="0.25">
      <c r="C282" t="str">
        <f>IF(I282="","",IFERROR(INDEX(المبيعات!$C:$C,MATCH(I282,المبيعات!$A:$A,0)),""))</f>
        <v/>
      </c>
      <c r="L282" t="str">
        <f>IF(AND(J282&lt;&gt;"", E282&lt;&gt;""), IF(E282 &gt; IFERROR(INDEX(جدول [2]الأقساط!$E:$E,MATCH(J282,جدول [2]الأقساط!$A:$A,0)), E282), "⚠️ تحصيل أكبر من قيمة القسط", "سليم"), "سليم")</f>
        <v>سليم</v>
      </c>
    </row>
    <row r="283" spans="3:12" x14ac:dyDescent="0.25">
      <c r="C283" t="str">
        <f>IF(I283="","",IFERROR(INDEX(المبيعات!$C:$C,MATCH(I283,المبيعات!$A:$A,0)),""))</f>
        <v/>
      </c>
      <c r="L283" t="str">
        <f>IF(AND(J283&lt;&gt;"", E283&lt;&gt;""), IF(E283 &gt; IFERROR(INDEX(جدول [2]الأقساط!$E:$E,MATCH(J283,جدول [2]الأقساط!$A:$A,0)), E283), "⚠️ تحصيل أكبر من قيمة القسط", "سليم"), "سليم")</f>
        <v>سليم</v>
      </c>
    </row>
    <row r="284" spans="3:12" x14ac:dyDescent="0.25">
      <c r="C284" t="str">
        <f>IF(I284="","",IFERROR(INDEX(المبيعات!$C:$C,MATCH(I284,المبيعات!$A:$A,0)),""))</f>
        <v/>
      </c>
      <c r="L284" t="str">
        <f>IF(AND(J284&lt;&gt;"", E284&lt;&gt;""), IF(E284 &gt; IFERROR(INDEX(جدول [2]الأقساط!$E:$E,MATCH(J284,جدول [2]الأقساط!$A:$A,0)), E284), "⚠️ تحصيل أكبر من قيمة القسط", "سليم"), "سليم")</f>
        <v>سليم</v>
      </c>
    </row>
    <row r="285" spans="3:12" x14ac:dyDescent="0.25">
      <c r="C285" t="str">
        <f>IF(I285="","",IFERROR(INDEX(المبيعات!$C:$C,MATCH(I285,المبيعات!$A:$A,0)),""))</f>
        <v/>
      </c>
      <c r="L285" t="str">
        <f>IF(AND(J285&lt;&gt;"", E285&lt;&gt;""), IF(E285 &gt; IFERROR(INDEX(جدول [2]الأقساط!$E:$E,MATCH(J285,جدول [2]الأقساط!$A:$A,0)), E285), "⚠️ تحصيل أكبر من قيمة القسط", "سليم"), "سليم")</f>
        <v>سليم</v>
      </c>
    </row>
    <row r="286" spans="3:12" x14ac:dyDescent="0.25">
      <c r="C286" t="str">
        <f>IF(I286="","",IFERROR(INDEX(المبيعات!$C:$C,MATCH(I286,المبيعات!$A:$A,0)),""))</f>
        <v/>
      </c>
      <c r="L286" t="str">
        <f>IF(AND(J286&lt;&gt;"", E286&lt;&gt;""), IF(E286 &gt; IFERROR(INDEX(جدول [2]الأقساط!$E:$E,MATCH(J286,جدول [2]الأقساط!$A:$A,0)), E286), "⚠️ تحصيل أكبر من قيمة القسط", "سليم"), "سليم")</f>
        <v>سليم</v>
      </c>
    </row>
    <row r="287" spans="3:12" x14ac:dyDescent="0.25">
      <c r="C287" t="str">
        <f>IF(I287="","",IFERROR(INDEX(المبيعات!$C:$C,MATCH(I287,المبيعات!$A:$A,0)),""))</f>
        <v/>
      </c>
      <c r="L287" t="str">
        <f>IF(AND(J287&lt;&gt;"", E287&lt;&gt;""), IF(E287 &gt; IFERROR(INDEX(جدول [2]الأقساط!$E:$E,MATCH(J287,جدول [2]الأقساط!$A:$A,0)), E287), "⚠️ تحصيل أكبر من قيمة القسط", "سليم"), "سليم")</f>
        <v>سليم</v>
      </c>
    </row>
    <row r="288" spans="3:12" x14ac:dyDescent="0.25">
      <c r="C288" t="str">
        <f>IF(I288="","",IFERROR(INDEX(المبيعات!$C:$C,MATCH(I288,المبيعات!$A:$A,0)),""))</f>
        <v/>
      </c>
      <c r="L288" t="str">
        <f>IF(AND(J288&lt;&gt;"", E288&lt;&gt;""), IF(E288 &gt; IFERROR(INDEX(جدول [2]الأقساط!$E:$E,MATCH(J288,جدول [2]الأقساط!$A:$A,0)), E288), "⚠️ تحصيل أكبر من قيمة القسط", "سليم"), "سليم")</f>
        <v>سليم</v>
      </c>
    </row>
    <row r="289" spans="3:12" x14ac:dyDescent="0.25">
      <c r="C289" t="str">
        <f>IF(I289="","",IFERROR(INDEX(المبيعات!$C:$C,MATCH(I289,المبيعات!$A:$A,0)),""))</f>
        <v/>
      </c>
      <c r="L289" t="str">
        <f>IF(AND(J289&lt;&gt;"", E289&lt;&gt;""), IF(E289 &gt; IFERROR(INDEX(جدول [2]الأقساط!$E:$E,MATCH(J289,جدول [2]الأقساط!$A:$A,0)), E289), "⚠️ تحصيل أكبر من قيمة القسط", "سليم"), "سليم")</f>
        <v>سليم</v>
      </c>
    </row>
    <row r="290" spans="3:12" x14ac:dyDescent="0.25">
      <c r="C290" t="str">
        <f>IF(I290="","",IFERROR(INDEX(المبيعات!$C:$C,MATCH(I290,المبيعات!$A:$A,0)),""))</f>
        <v/>
      </c>
      <c r="L290" t="str">
        <f>IF(AND(J290&lt;&gt;"", E290&lt;&gt;""), IF(E290 &gt; IFERROR(INDEX(جدول [2]الأقساط!$E:$E,MATCH(J290,جدول [2]الأقساط!$A:$A,0)), E290), "⚠️ تحصيل أكبر من قيمة القسط", "سليم"), "سليم")</f>
        <v>سليم</v>
      </c>
    </row>
    <row r="291" spans="3:12" x14ac:dyDescent="0.25">
      <c r="C291" t="str">
        <f>IF(I291="","",IFERROR(INDEX(المبيعات!$C:$C,MATCH(I291,المبيعات!$A:$A,0)),""))</f>
        <v/>
      </c>
      <c r="L291" t="str">
        <f>IF(AND(J291&lt;&gt;"", E291&lt;&gt;""), IF(E291 &gt; IFERROR(INDEX(جدول [2]الأقساط!$E:$E,MATCH(J291,جدول [2]الأقساط!$A:$A,0)), E291), "⚠️ تحصيل أكبر من قيمة القسط", "سليم"), "سليم")</f>
        <v>سليم</v>
      </c>
    </row>
    <row r="292" spans="3:12" x14ac:dyDescent="0.25">
      <c r="C292" t="str">
        <f>IF(I292="","",IFERROR(INDEX(المبيعات!$C:$C,MATCH(I292,المبيعات!$A:$A,0)),""))</f>
        <v/>
      </c>
      <c r="L292" t="str">
        <f>IF(AND(J292&lt;&gt;"", E292&lt;&gt;""), IF(E292 &gt; IFERROR(INDEX(جدول [2]الأقساط!$E:$E,MATCH(J292,جدول [2]الأقساط!$A:$A,0)), E292), "⚠️ تحصيل أكبر من قيمة القسط", "سليم"), "سليم")</f>
        <v>سليم</v>
      </c>
    </row>
    <row r="293" spans="3:12" x14ac:dyDescent="0.25">
      <c r="C293" t="str">
        <f>IF(I293="","",IFERROR(INDEX(المبيعات!$C:$C,MATCH(I293,المبيعات!$A:$A,0)),""))</f>
        <v/>
      </c>
      <c r="L293" t="str">
        <f>IF(AND(J293&lt;&gt;"", E293&lt;&gt;""), IF(E293 &gt; IFERROR(INDEX(جدول [2]الأقساط!$E:$E,MATCH(J293,جدول [2]الأقساط!$A:$A,0)), E293), "⚠️ تحصيل أكبر من قيمة القسط", "سليم"), "سليم")</f>
        <v>سليم</v>
      </c>
    </row>
    <row r="294" spans="3:12" x14ac:dyDescent="0.25">
      <c r="C294" t="str">
        <f>IF(I294="","",IFERROR(INDEX(المبيعات!$C:$C,MATCH(I294,المبيعات!$A:$A,0)),""))</f>
        <v/>
      </c>
      <c r="L294" t="str">
        <f>IF(AND(J294&lt;&gt;"", E294&lt;&gt;""), IF(E294 &gt; IFERROR(INDEX(جدول [2]الأقساط!$E:$E,MATCH(J294,جدول [2]الأقساط!$A:$A,0)), E294), "⚠️ تحصيل أكبر من قيمة القسط", "سليم"), "سليم")</f>
        <v>سليم</v>
      </c>
    </row>
    <row r="295" spans="3:12" x14ac:dyDescent="0.25">
      <c r="C295" t="str">
        <f>IF(I295="","",IFERROR(INDEX(المبيعات!$C:$C,MATCH(I295,المبيعات!$A:$A,0)),""))</f>
        <v/>
      </c>
      <c r="L295" t="str">
        <f>IF(AND(J295&lt;&gt;"", E295&lt;&gt;""), IF(E295 &gt; IFERROR(INDEX(جدول [2]الأقساط!$E:$E,MATCH(J295,جدول [2]الأقساط!$A:$A,0)), E295), "⚠️ تحصيل أكبر من قيمة القسط", "سليم"), "سليم")</f>
        <v>سليم</v>
      </c>
    </row>
    <row r="296" spans="3:12" x14ac:dyDescent="0.25">
      <c r="C296" t="str">
        <f>IF(I296="","",IFERROR(INDEX(المبيعات!$C:$C,MATCH(I296,المبيعات!$A:$A,0)),""))</f>
        <v/>
      </c>
      <c r="L296" t="str">
        <f>IF(AND(J296&lt;&gt;"", E296&lt;&gt;""), IF(E296 &gt; IFERROR(INDEX(جدول [2]الأقساط!$E:$E,MATCH(J296,جدول [2]الأقساط!$A:$A,0)), E296), "⚠️ تحصيل أكبر من قيمة القسط", "سليم"), "سليم")</f>
        <v>سليم</v>
      </c>
    </row>
    <row r="297" spans="3:12" x14ac:dyDescent="0.25">
      <c r="C297" t="str">
        <f>IF(I297="","",IFERROR(INDEX(المبيعات!$C:$C,MATCH(I297,المبيعات!$A:$A,0)),""))</f>
        <v/>
      </c>
      <c r="L297" t="str">
        <f>IF(AND(J297&lt;&gt;"", E297&lt;&gt;""), IF(E297 &gt; IFERROR(INDEX(جدول [2]الأقساط!$E:$E,MATCH(J297,جدول [2]الأقساط!$A:$A,0)), E297), "⚠️ تحصيل أكبر من قيمة القسط", "سليم"), "سليم")</f>
        <v>سليم</v>
      </c>
    </row>
    <row r="298" spans="3:12" x14ac:dyDescent="0.25">
      <c r="C298" t="str">
        <f>IF(I298="","",IFERROR(INDEX(المبيعات!$C:$C,MATCH(I298,المبيعات!$A:$A,0)),""))</f>
        <v/>
      </c>
      <c r="L298" t="str">
        <f>IF(AND(J298&lt;&gt;"", E298&lt;&gt;""), IF(E298 &gt; IFERROR(INDEX(جدول [2]الأقساط!$E:$E,MATCH(J298,جدول [2]الأقساط!$A:$A,0)), E298), "⚠️ تحصيل أكبر من قيمة القسط", "سليم"), "سليم")</f>
        <v>سليم</v>
      </c>
    </row>
    <row r="299" spans="3:12" x14ac:dyDescent="0.25">
      <c r="C299" t="str">
        <f>IF(I299="","",IFERROR(INDEX(المبيعات!$C:$C,MATCH(I299,المبيعات!$A:$A,0)),""))</f>
        <v/>
      </c>
      <c r="L299" t="str">
        <f>IF(AND(J299&lt;&gt;"", E299&lt;&gt;""), IF(E299 &gt; IFERROR(INDEX(جدول [2]الأقساط!$E:$E,MATCH(J299,جدول [2]الأقساط!$A:$A,0)), E299), "⚠️ تحصيل أكبر من قيمة القسط", "سليم"), "سليم")</f>
        <v>سليم</v>
      </c>
    </row>
    <row r="300" spans="3:12" x14ac:dyDescent="0.25">
      <c r="C300" t="str">
        <f>IF(I300="","",IFERROR(INDEX(المبيعات!$C:$C,MATCH(I300,المبيعات!$A:$A,0)),""))</f>
        <v/>
      </c>
      <c r="L300" t="str">
        <f>IF(AND(J300&lt;&gt;"", E300&lt;&gt;""), IF(E300 &gt; IFERROR(INDEX(جدول [2]الأقساط!$E:$E,MATCH(J300,جدول [2]الأقساط!$A:$A,0)), E300), "⚠️ تحصيل أكبر من قيمة القسط", "سليم"), "سليم")</f>
        <v>سليم</v>
      </c>
    </row>
    <row r="301" spans="3:12" x14ac:dyDescent="0.25">
      <c r="C301" t="str">
        <f>IF(I301="","",IFERROR(INDEX(المبيعات!$C:$C,MATCH(I301,المبيعات!$A:$A,0)),""))</f>
        <v/>
      </c>
      <c r="L301" t="str">
        <f>IF(AND(J301&lt;&gt;"", E301&lt;&gt;""), IF(E301 &gt; IFERROR(INDEX(جدول [2]الأقساط!$E:$E,MATCH(J301,جدول [2]الأقساط!$A:$A,0)), E301), "⚠️ تحصيل أكبر من قيمة القسط", "سليم"), "سليم")</f>
        <v>سليم</v>
      </c>
    </row>
    <row r="302" spans="3:12" x14ac:dyDescent="0.25">
      <c r="C302" t="str">
        <f>IF(I302="","",IFERROR(INDEX(المبيعات!$C:$C,MATCH(I302,المبيعات!$A:$A,0)),""))</f>
        <v/>
      </c>
      <c r="L302" t="str">
        <f>IF(AND(J302&lt;&gt;"", E302&lt;&gt;""), IF(E302 &gt; IFERROR(INDEX(جدول [2]الأقساط!$E:$E,MATCH(J302,جدول [2]الأقساط!$A:$A,0)), E302), "⚠️ تحصيل أكبر من قيمة القسط", "سليم"), "سليم")</f>
        <v>سليم</v>
      </c>
    </row>
    <row r="303" spans="3:12" x14ac:dyDescent="0.25">
      <c r="C303" t="str">
        <f>IF(I303="","",IFERROR(INDEX(المبيعات!$C:$C,MATCH(I303,المبيعات!$A:$A,0)),""))</f>
        <v/>
      </c>
      <c r="L303" t="str">
        <f>IF(AND(J303&lt;&gt;"", E303&lt;&gt;""), IF(E303 &gt; IFERROR(INDEX(جدول [2]الأقساط!$E:$E,MATCH(J303,جدول [2]الأقساط!$A:$A,0)), E303), "⚠️ تحصيل أكبر من قيمة القسط", "سليم"), "سليم")</f>
        <v>سليم</v>
      </c>
    </row>
    <row r="304" spans="3:12" x14ac:dyDescent="0.25">
      <c r="C304" t="str">
        <f>IF(I304="","",IFERROR(INDEX(المبيعات!$C:$C,MATCH(I304,المبيعات!$A:$A,0)),""))</f>
        <v/>
      </c>
      <c r="L304" t="str">
        <f>IF(AND(J304&lt;&gt;"", E304&lt;&gt;""), IF(E304 &gt; IFERROR(INDEX(جدول [2]الأقساط!$E:$E,MATCH(J304,جدول [2]الأقساط!$A:$A,0)), E304), "⚠️ تحصيل أكبر من قيمة القسط", "سليم"), "سليم")</f>
        <v>سليم</v>
      </c>
    </row>
    <row r="305" spans="3:12" x14ac:dyDescent="0.25">
      <c r="C305" t="str">
        <f>IF(I305="","",IFERROR(INDEX(المبيعات!$C:$C,MATCH(I305,المبيعات!$A:$A,0)),""))</f>
        <v/>
      </c>
      <c r="L305" t="str">
        <f>IF(AND(J305&lt;&gt;"", E305&lt;&gt;""), IF(E305 &gt; IFERROR(INDEX(جدول [2]الأقساط!$E:$E,MATCH(J305,جدول [2]الأقساط!$A:$A,0)), E305), "⚠️ تحصيل أكبر من قيمة القسط", "سليم"), "سليم")</f>
        <v>سليم</v>
      </c>
    </row>
    <row r="306" spans="3:12" x14ac:dyDescent="0.25">
      <c r="C306" t="str">
        <f>IF(I306="","",IFERROR(INDEX(المبيعات!$C:$C,MATCH(I306,المبيعات!$A:$A,0)),""))</f>
        <v/>
      </c>
      <c r="L306" t="str">
        <f>IF(AND(J306&lt;&gt;"", E306&lt;&gt;""), IF(E306 &gt; IFERROR(INDEX(جدول [2]الأقساط!$E:$E,MATCH(J306,جدول [2]الأقساط!$A:$A,0)), E306), "⚠️ تحصيل أكبر من قيمة القسط", "سليم"), "سليم")</f>
        <v>سليم</v>
      </c>
    </row>
    <row r="307" spans="3:12" x14ac:dyDescent="0.25">
      <c r="C307" t="str">
        <f>IF(I307="","",IFERROR(INDEX(المبيعات!$C:$C,MATCH(I307,المبيعات!$A:$A,0)),""))</f>
        <v/>
      </c>
      <c r="L307" t="str">
        <f>IF(AND(J307&lt;&gt;"", E307&lt;&gt;""), IF(E307 &gt; IFERROR(INDEX(جدول [2]الأقساط!$E:$E,MATCH(J307,جدول [2]الأقساط!$A:$A,0)), E307), "⚠️ تحصيل أكبر من قيمة القسط", "سليم"), "سليم")</f>
        <v>سليم</v>
      </c>
    </row>
    <row r="308" spans="3:12" x14ac:dyDescent="0.25">
      <c r="C308" t="str">
        <f>IF(I308="","",IFERROR(INDEX(المبيعات!$C:$C,MATCH(I308,المبيعات!$A:$A,0)),""))</f>
        <v/>
      </c>
      <c r="L308" t="str">
        <f>IF(AND(J308&lt;&gt;"", E308&lt;&gt;""), IF(E308 &gt; IFERROR(INDEX(جدول [2]الأقساط!$E:$E,MATCH(J308,جدول [2]الأقساط!$A:$A,0)), E308), "⚠️ تحصيل أكبر من قيمة القسط", "سليم"), "سليم")</f>
        <v>سليم</v>
      </c>
    </row>
    <row r="309" spans="3:12" x14ac:dyDescent="0.25">
      <c r="C309" t="str">
        <f>IF(I309="","",IFERROR(INDEX(المبيعات!$C:$C,MATCH(I309,المبيعات!$A:$A,0)),""))</f>
        <v/>
      </c>
      <c r="L309" t="str">
        <f>IF(AND(J309&lt;&gt;"", E309&lt;&gt;""), IF(E309 &gt; IFERROR(INDEX(جدول [2]الأقساط!$E:$E,MATCH(J309,جدول [2]الأقساط!$A:$A,0)), E309), "⚠️ تحصيل أكبر من قيمة القسط", "سليم"), "سليم")</f>
        <v>سليم</v>
      </c>
    </row>
    <row r="310" spans="3:12" x14ac:dyDescent="0.25">
      <c r="C310" t="str">
        <f>IF(I310="","",IFERROR(INDEX(المبيعات!$C:$C,MATCH(I310,المبيعات!$A:$A,0)),""))</f>
        <v/>
      </c>
      <c r="L310" t="str">
        <f>IF(AND(J310&lt;&gt;"", E310&lt;&gt;""), IF(E310 &gt; IFERROR(INDEX(جدول [2]الأقساط!$E:$E,MATCH(J310,جدول [2]الأقساط!$A:$A,0)), E310), "⚠️ تحصيل أكبر من قيمة القسط", "سليم"), "سليم")</f>
        <v>سليم</v>
      </c>
    </row>
    <row r="311" spans="3:12" x14ac:dyDescent="0.25">
      <c r="C311" t="str">
        <f>IF(I311="","",IFERROR(INDEX(المبيعات!$C:$C,MATCH(I311,المبيعات!$A:$A,0)),""))</f>
        <v/>
      </c>
      <c r="L311" t="str">
        <f>IF(AND(J311&lt;&gt;"", E311&lt;&gt;""), IF(E311 &gt; IFERROR(INDEX(جدول [2]الأقساط!$E:$E,MATCH(J311,جدول [2]الأقساط!$A:$A,0)), E311), "⚠️ تحصيل أكبر من قيمة القسط", "سليم"), "سليم")</f>
        <v>سليم</v>
      </c>
    </row>
    <row r="312" spans="3:12" x14ac:dyDescent="0.25">
      <c r="C312" t="str">
        <f>IF(I312="","",IFERROR(INDEX(المبيعات!$C:$C,MATCH(I312,المبيعات!$A:$A,0)),""))</f>
        <v/>
      </c>
      <c r="L312" t="str">
        <f>IF(AND(J312&lt;&gt;"", E312&lt;&gt;""), IF(E312 &gt; IFERROR(INDEX(جدول [2]الأقساط!$E:$E,MATCH(J312,جدول [2]الأقساط!$A:$A,0)), E312), "⚠️ تحصيل أكبر من قيمة القسط", "سليم"), "سليم")</f>
        <v>سليم</v>
      </c>
    </row>
    <row r="313" spans="3:12" x14ac:dyDescent="0.25">
      <c r="C313" t="str">
        <f>IF(I313="","",IFERROR(INDEX(المبيعات!$C:$C,MATCH(I313,المبيعات!$A:$A,0)),""))</f>
        <v/>
      </c>
      <c r="L313" t="str">
        <f>IF(AND(J313&lt;&gt;"", E313&lt;&gt;""), IF(E313 &gt; IFERROR(INDEX(جدول [2]الأقساط!$E:$E,MATCH(J313,جدول [2]الأقساط!$A:$A,0)), E313), "⚠️ تحصيل أكبر من قيمة القسط", "سليم"), "سليم")</f>
        <v>سليم</v>
      </c>
    </row>
    <row r="314" spans="3:12" x14ac:dyDescent="0.25">
      <c r="C314" t="str">
        <f>IF(I314="","",IFERROR(INDEX(المبيعات!$C:$C,MATCH(I314,المبيعات!$A:$A,0)),""))</f>
        <v/>
      </c>
      <c r="L314" t="str">
        <f>IF(AND(J314&lt;&gt;"", E314&lt;&gt;""), IF(E314 &gt; IFERROR(INDEX(جدول [2]الأقساط!$E:$E,MATCH(J314,جدول [2]الأقساط!$A:$A,0)), E314), "⚠️ تحصيل أكبر من قيمة القسط", "سليم"), "سليم")</f>
        <v>سليم</v>
      </c>
    </row>
    <row r="315" spans="3:12" x14ac:dyDescent="0.25">
      <c r="C315" t="str">
        <f>IF(I315="","",IFERROR(INDEX(المبيعات!$C:$C,MATCH(I315,المبيعات!$A:$A,0)),""))</f>
        <v/>
      </c>
      <c r="L315" t="str">
        <f>IF(AND(J315&lt;&gt;"", E315&lt;&gt;""), IF(E315 &gt; IFERROR(INDEX(جدول [2]الأقساط!$E:$E,MATCH(J315,جدول [2]الأقساط!$A:$A,0)), E315), "⚠️ تحصيل أكبر من قيمة القسط", "سليم"), "سليم")</f>
        <v>سليم</v>
      </c>
    </row>
    <row r="316" spans="3:12" x14ac:dyDescent="0.25">
      <c r="C316" t="str">
        <f>IF(I316="","",IFERROR(INDEX(المبيعات!$C:$C,MATCH(I316,المبيعات!$A:$A,0)),""))</f>
        <v/>
      </c>
      <c r="L316" t="str">
        <f>IF(AND(J316&lt;&gt;"", E316&lt;&gt;""), IF(E316 &gt; IFERROR(INDEX(جدول [2]الأقساط!$E:$E,MATCH(J316,جدول [2]الأقساط!$A:$A,0)), E316), "⚠️ تحصيل أكبر من قيمة القسط", "سليم"), "سليم")</f>
        <v>سليم</v>
      </c>
    </row>
    <row r="317" spans="3:12" x14ac:dyDescent="0.25">
      <c r="C317" t="str">
        <f>IF(I317="","",IFERROR(INDEX(المبيعات!$C:$C,MATCH(I317,المبيعات!$A:$A,0)),""))</f>
        <v/>
      </c>
      <c r="L317" t="str">
        <f>IF(AND(J317&lt;&gt;"", E317&lt;&gt;""), IF(E317 &gt; IFERROR(INDEX(جدول [2]الأقساط!$E:$E,MATCH(J317,جدول [2]الأقساط!$A:$A,0)), E317), "⚠️ تحصيل أكبر من قيمة القسط", "سليم"), "سليم")</f>
        <v>سليم</v>
      </c>
    </row>
    <row r="318" spans="3:12" x14ac:dyDescent="0.25">
      <c r="C318" t="str">
        <f>IF(I318="","",IFERROR(INDEX(المبيعات!$C:$C,MATCH(I318,المبيعات!$A:$A,0)),""))</f>
        <v/>
      </c>
      <c r="L318" t="str">
        <f>IF(AND(J318&lt;&gt;"", E318&lt;&gt;""), IF(E318 &gt; IFERROR(INDEX(جدول [2]الأقساط!$E:$E,MATCH(J318,جدول [2]الأقساط!$A:$A,0)), E318), "⚠️ تحصيل أكبر من قيمة القسط", "سليم"), "سليم")</f>
        <v>سليم</v>
      </c>
    </row>
    <row r="319" spans="3:12" x14ac:dyDescent="0.25">
      <c r="C319" t="str">
        <f>IF(I319="","",IFERROR(INDEX(المبيعات!$C:$C,MATCH(I319,المبيعات!$A:$A,0)),""))</f>
        <v/>
      </c>
      <c r="L319" t="str">
        <f>IF(AND(J319&lt;&gt;"", E319&lt;&gt;""), IF(E319 &gt; IFERROR(INDEX(جدول [2]الأقساط!$E:$E,MATCH(J319,جدول [2]الأقساط!$A:$A,0)), E319), "⚠️ تحصيل أكبر من قيمة القسط", "سليم"), "سليم")</f>
        <v>سليم</v>
      </c>
    </row>
    <row r="320" spans="3:12" x14ac:dyDescent="0.25">
      <c r="C320" t="str">
        <f>IF(I320="","",IFERROR(INDEX(المبيعات!$C:$C,MATCH(I320,المبيعات!$A:$A,0)),""))</f>
        <v/>
      </c>
      <c r="L320" t="str">
        <f>IF(AND(J320&lt;&gt;"", E320&lt;&gt;""), IF(E320 &gt; IFERROR(INDEX(جدول [2]الأقساط!$E:$E,MATCH(J320,جدول [2]الأقساط!$A:$A,0)), E320), "⚠️ تحصيل أكبر من قيمة القسط", "سليم"), "سليم")</f>
        <v>سليم</v>
      </c>
    </row>
    <row r="321" spans="3:12" x14ac:dyDescent="0.25">
      <c r="C321" t="str">
        <f>IF(I321="","",IFERROR(INDEX(المبيعات!$C:$C,MATCH(I321,المبيعات!$A:$A,0)),""))</f>
        <v/>
      </c>
      <c r="L321" t="str">
        <f>IF(AND(J321&lt;&gt;"", E321&lt;&gt;""), IF(E321 &gt; IFERROR(INDEX(جدول [2]الأقساط!$E:$E,MATCH(J321,جدول [2]الأقساط!$A:$A,0)), E321), "⚠️ تحصيل أكبر من قيمة القسط", "سليم"), "سليم")</f>
        <v>سليم</v>
      </c>
    </row>
    <row r="322" spans="3:12" x14ac:dyDescent="0.25">
      <c r="C322" t="str">
        <f>IF(I322="","",IFERROR(INDEX(المبيعات!$C:$C,MATCH(I322,المبيعات!$A:$A,0)),""))</f>
        <v/>
      </c>
      <c r="L322" t="str">
        <f>IF(AND(J322&lt;&gt;"", E322&lt;&gt;""), IF(E322 &gt; IFERROR(INDEX(جدول [2]الأقساط!$E:$E,MATCH(J322,جدول [2]الأقساط!$A:$A,0)), E322), "⚠️ تحصيل أكبر من قيمة القسط", "سليم"), "سليم")</f>
        <v>سليم</v>
      </c>
    </row>
    <row r="323" spans="3:12" x14ac:dyDescent="0.25">
      <c r="C323" t="str">
        <f>IF(I323="","",IFERROR(INDEX(المبيعات!$C:$C,MATCH(I323,المبيعات!$A:$A,0)),""))</f>
        <v/>
      </c>
      <c r="L323" t="str">
        <f>IF(AND(J323&lt;&gt;"", E323&lt;&gt;""), IF(E323 &gt; IFERROR(INDEX(جدول [2]الأقساط!$E:$E,MATCH(J323,جدول [2]الأقساط!$A:$A,0)), E323), "⚠️ تحصيل أكبر من قيمة القسط", "سليم"), "سليم")</f>
        <v>سليم</v>
      </c>
    </row>
    <row r="324" spans="3:12" x14ac:dyDescent="0.25">
      <c r="C324" t="str">
        <f>IF(I324="","",IFERROR(INDEX(المبيعات!$C:$C,MATCH(I324,المبيعات!$A:$A,0)),""))</f>
        <v/>
      </c>
      <c r="L324" t="str">
        <f>IF(AND(J324&lt;&gt;"", E324&lt;&gt;""), IF(E324 &gt; IFERROR(INDEX(جدول [2]الأقساط!$E:$E,MATCH(J324,جدول [2]الأقساط!$A:$A,0)), E324), "⚠️ تحصيل أكبر من قيمة القسط", "سليم"), "سليم")</f>
        <v>سليم</v>
      </c>
    </row>
    <row r="325" spans="3:12" x14ac:dyDescent="0.25">
      <c r="C325" t="str">
        <f>IF(I325="","",IFERROR(INDEX(المبيعات!$C:$C,MATCH(I325,المبيعات!$A:$A,0)),""))</f>
        <v/>
      </c>
      <c r="L325" t="str">
        <f>IF(AND(J325&lt;&gt;"", E325&lt;&gt;""), IF(E325 &gt; IFERROR(INDEX(جدول [2]الأقساط!$E:$E,MATCH(J325,جدول [2]الأقساط!$A:$A,0)), E325), "⚠️ تحصيل أكبر من قيمة القسط", "سليم"), "سليم")</f>
        <v>سليم</v>
      </c>
    </row>
    <row r="326" spans="3:12" x14ac:dyDescent="0.25">
      <c r="C326" t="str">
        <f>IF(I326="","",IFERROR(INDEX(المبيعات!$C:$C,MATCH(I326,المبيعات!$A:$A,0)),""))</f>
        <v/>
      </c>
      <c r="L326" t="str">
        <f>IF(AND(J326&lt;&gt;"", E326&lt;&gt;""), IF(E326 &gt; IFERROR(INDEX(جدول [2]الأقساط!$E:$E,MATCH(J326,جدول [2]الأقساط!$A:$A,0)), E326), "⚠️ تحصيل أكبر من قيمة القسط", "سليم"), "سليم")</f>
        <v>سليم</v>
      </c>
    </row>
    <row r="327" spans="3:12" x14ac:dyDescent="0.25">
      <c r="C327" t="str">
        <f>IF(I327="","",IFERROR(INDEX(المبيعات!$C:$C,MATCH(I327,المبيعات!$A:$A,0)),""))</f>
        <v/>
      </c>
      <c r="L327" t="str">
        <f>IF(AND(J327&lt;&gt;"", E327&lt;&gt;""), IF(E327 &gt; IFERROR(INDEX(جدول [2]الأقساط!$E:$E,MATCH(J327,جدول [2]الأقساط!$A:$A,0)), E327), "⚠️ تحصيل أكبر من قيمة القسط", "سليم"), "سليم")</f>
        <v>سليم</v>
      </c>
    </row>
    <row r="328" spans="3:12" x14ac:dyDescent="0.25">
      <c r="C328" t="str">
        <f>IF(I328="","",IFERROR(INDEX(المبيعات!$C:$C,MATCH(I328,المبيعات!$A:$A,0)),""))</f>
        <v/>
      </c>
      <c r="L328" t="str">
        <f>IF(AND(J328&lt;&gt;"", E328&lt;&gt;""), IF(E328 &gt; IFERROR(INDEX(جدول [2]الأقساط!$E:$E,MATCH(J328,جدول [2]الأقساط!$A:$A,0)), E328), "⚠️ تحصيل أكبر من قيمة القسط", "سليم"), "سليم")</f>
        <v>سليم</v>
      </c>
    </row>
    <row r="329" spans="3:12" x14ac:dyDescent="0.25">
      <c r="C329" t="str">
        <f>IF(I329="","",IFERROR(INDEX(المبيعات!$C:$C,MATCH(I329,المبيعات!$A:$A,0)),""))</f>
        <v/>
      </c>
      <c r="L329" t="str">
        <f>IF(AND(J329&lt;&gt;"", E329&lt;&gt;""), IF(E329 &gt; IFERROR(INDEX(جدول [2]الأقساط!$E:$E,MATCH(J329,جدول [2]الأقساط!$A:$A,0)), E329), "⚠️ تحصيل أكبر من قيمة القسط", "سليم"), "سليم")</f>
        <v>سليم</v>
      </c>
    </row>
    <row r="330" spans="3:12" x14ac:dyDescent="0.25">
      <c r="C330" t="str">
        <f>IF(I330="","",IFERROR(INDEX(المبيعات!$C:$C,MATCH(I330,المبيعات!$A:$A,0)),""))</f>
        <v/>
      </c>
      <c r="L330" t="str">
        <f>IF(AND(J330&lt;&gt;"", E330&lt;&gt;""), IF(E330 &gt; IFERROR(INDEX(جدول [2]الأقساط!$E:$E,MATCH(J330,جدول [2]الأقساط!$A:$A,0)), E330), "⚠️ تحصيل أكبر من قيمة القسط", "سليم"), "سليم")</f>
        <v>سليم</v>
      </c>
    </row>
    <row r="331" spans="3:12" x14ac:dyDescent="0.25">
      <c r="C331" t="str">
        <f>IF(I331="","",IFERROR(INDEX(المبيعات!$C:$C,MATCH(I331,المبيعات!$A:$A,0)),""))</f>
        <v/>
      </c>
      <c r="L331" t="str">
        <f>IF(AND(J331&lt;&gt;"", E331&lt;&gt;""), IF(E331 &gt; IFERROR(INDEX(جدول [2]الأقساط!$E:$E,MATCH(J331,جدول [2]الأقساط!$A:$A,0)), E331), "⚠️ تحصيل أكبر من قيمة القسط", "سليم"), "سليم")</f>
        <v>سليم</v>
      </c>
    </row>
    <row r="332" spans="3:12" x14ac:dyDescent="0.25">
      <c r="C332" t="str">
        <f>IF(I332="","",IFERROR(INDEX(المبيعات!$C:$C,MATCH(I332,المبيعات!$A:$A,0)),""))</f>
        <v/>
      </c>
      <c r="L332" t="str">
        <f>IF(AND(J332&lt;&gt;"", E332&lt;&gt;""), IF(E332 &gt; IFERROR(INDEX(جدول [2]الأقساط!$E:$E,MATCH(J332,جدول [2]الأقساط!$A:$A,0)), E332), "⚠️ تحصيل أكبر من قيمة القسط", "سليم"), "سليم")</f>
        <v>سليم</v>
      </c>
    </row>
    <row r="333" spans="3:12" x14ac:dyDescent="0.25">
      <c r="C333" t="str">
        <f>IF(I333="","",IFERROR(INDEX(المبيعات!$C:$C,MATCH(I333,المبيعات!$A:$A,0)),""))</f>
        <v/>
      </c>
      <c r="L333" t="str">
        <f>IF(AND(J333&lt;&gt;"", E333&lt;&gt;""), IF(E333 &gt; IFERROR(INDEX(جدول [2]الأقساط!$E:$E,MATCH(J333,جدول [2]الأقساط!$A:$A,0)), E333), "⚠️ تحصيل أكبر من قيمة القسط", "سليم"), "سليم")</f>
        <v>سليم</v>
      </c>
    </row>
    <row r="334" spans="3:12" x14ac:dyDescent="0.25">
      <c r="C334" t="str">
        <f>IF(I334="","",IFERROR(INDEX(المبيعات!$C:$C,MATCH(I334,المبيعات!$A:$A,0)),""))</f>
        <v/>
      </c>
      <c r="L334" t="str">
        <f>IF(AND(J334&lt;&gt;"", E334&lt;&gt;""), IF(E334 &gt; IFERROR(INDEX(جدول [2]الأقساط!$E:$E,MATCH(J334,جدول [2]الأقساط!$A:$A,0)), E334), "⚠️ تحصيل أكبر من قيمة القسط", "سليم"), "سليم")</f>
        <v>سليم</v>
      </c>
    </row>
    <row r="335" spans="3:12" x14ac:dyDescent="0.25">
      <c r="C335" t="str">
        <f>IF(I335="","",IFERROR(INDEX(المبيعات!$C:$C,MATCH(I335,المبيعات!$A:$A,0)),""))</f>
        <v/>
      </c>
      <c r="L335" t="str">
        <f>IF(AND(J335&lt;&gt;"", E335&lt;&gt;""), IF(E335 &gt; IFERROR(INDEX(جدول [2]الأقساط!$E:$E,MATCH(J335,جدول [2]الأقساط!$A:$A,0)), E335), "⚠️ تحصيل أكبر من قيمة القسط", "سليم"), "سليم")</f>
        <v>سليم</v>
      </c>
    </row>
    <row r="336" spans="3:12" x14ac:dyDescent="0.25">
      <c r="C336" t="str">
        <f>IF(I336="","",IFERROR(INDEX(المبيعات!$C:$C,MATCH(I336,المبيعات!$A:$A,0)),""))</f>
        <v/>
      </c>
      <c r="L336" t="str">
        <f>IF(AND(J336&lt;&gt;"", E336&lt;&gt;""), IF(E336 &gt; IFERROR(INDEX(جدول [2]الأقساط!$E:$E,MATCH(J336,جدول [2]الأقساط!$A:$A,0)), E336), "⚠️ تحصيل أكبر من قيمة القسط", "سليم"), "سليم")</f>
        <v>سليم</v>
      </c>
    </row>
    <row r="337" spans="3:12" x14ac:dyDescent="0.25">
      <c r="C337" t="str">
        <f>IF(I337="","",IFERROR(INDEX(المبيعات!$C:$C,MATCH(I337,المبيعات!$A:$A,0)),""))</f>
        <v/>
      </c>
      <c r="L337" t="str">
        <f>IF(AND(J337&lt;&gt;"", E337&lt;&gt;""), IF(E337 &gt; IFERROR(INDEX(جدول [2]الأقساط!$E:$E,MATCH(J337,جدول [2]الأقساط!$A:$A,0)), E337), "⚠️ تحصيل أكبر من قيمة القسط", "سليم"), "سليم")</f>
        <v>سليم</v>
      </c>
    </row>
    <row r="338" spans="3:12" x14ac:dyDescent="0.25">
      <c r="C338" t="str">
        <f>IF(I338="","",IFERROR(INDEX(المبيعات!$C:$C,MATCH(I338,المبيعات!$A:$A,0)),""))</f>
        <v/>
      </c>
      <c r="L338" t="str">
        <f>IF(AND(J338&lt;&gt;"", E338&lt;&gt;""), IF(E338 &gt; IFERROR(INDEX(جدول [2]الأقساط!$E:$E,MATCH(J338,جدول [2]الأقساط!$A:$A,0)), E338), "⚠️ تحصيل أكبر من قيمة القسط", "سليم"), "سليم")</f>
        <v>سليم</v>
      </c>
    </row>
    <row r="339" spans="3:12" x14ac:dyDescent="0.25">
      <c r="C339" t="str">
        <f>IF(I339="","",IFERROR(INDEX(المبيعات!$C:$C,MATCH(I339,المبيعات!$A:$A,0)),""))</f>
        <v/>
      </c>
      <c r="L339" t="str">
        <f>IF(AND(J339&lt;&gt;"", E339&lt;&gt;""), IF(E339 &gt; IFERROR(INDEX(جدول [2]الأقساط!$E:$E,MATCH(J339,جدول [2]الأقساط!$A:$A,0)), E339), "⚠️ تحصيل أكبر من قيمة القسط", "سليم"), "سليم")</f>
        <v>سليم</v>
      </c>
    </row>
    <row r="340" spans="3:12" x14ac:dyDescent="0.25">
      <c r="C340" t="str">
        <f>IF(I340="","",IFERROR(INDEX(المبيعات!$C:$C,MATCH(I340,المبيعات!$A:$A,0)),""))</f>
        <v/>
      </c>
      <c r="L340" t="str">
        <f>IF(AND(J340&lt;&gt;"", E340&lt;&gt;""), IF(E340 &gt; IFERROR(INDEX(جدول [2]الأقساط!$E:$E,MATCH(J340,جدول [2]الأقساط!$A:$A,0)), E340), "⚠️ تحصيل أكبر من قيمة القسط", "سليم"), "سليم")</f>
        <v>سليم</v>
      </c>
    </row>
    <row r="341" spans="3:12" x14ac:dyDescent="0.25">
      <c r="C341" t="str">
        <f>IF(I341="","",IFERROR(INDEX(المبيعات!$C:$C,MATCH(I341,المبيعات!$A:$A,0)),""))</f>
        <v/>
      </c>
      <c r="L341" t="str">
        <f>IF(AND(J341&lt;&gt;"", E341&lt;&gt;""), IF(E341 &gt; IFERROR(INDEX(جدول [2]الأقساط!$E:$E,MATCH(J341,جدول [2]الأقساط!$A:$A,0)), E341), "⚠️ تحصيل أكبر من قيمة القسط", "سليم"), "سليم")</f>
        <v>سليم</v>
      </c>
    </row>
    <row r="342" spans="3:12" x14ac:dyDescent="0.25">
      <c r="C342" t="str">
        <f>IF(I342="","",IFERROR(INDEX(المبيعات!$C:$C,MATCH(I342,المبيعات!$A:$A,0)),""))</f>
        <v/>
      </c>
      <c r="L342" t="str">
        <f>IF(AND(J342&lt;&gt;"", E342&lt;&gt;""), IF(E342 &gt; IFERROR(INDEX(جدول [2]الأقساط!$E:$E,MATCH(J342,جدول [2]الأقساط!$A:$A,0)), E342), "⚠️ تحصيل أكبر من قيمة القسط", "سليم"), "سليم")</f>
        <v>سليم</v>
      </c>
    </row>
    <row r="343" spans="3:12" x14ac:dyDescent="0.25">
      <c r="C343" t="str">
        <f>IF(I343="","",IFERROR(INDEX(المبيعات!$C:$C,MATCH(I343,المبيعات!$A:$A,0)),""))</f>
        <v/>
      </c>
      <c r="L343" t="str">
        <f>IF(AND(J343&lt;&gt;"", E343&lt;&gt;""), IF(E343 &gt; IFERROR(INDEX(جدول [2]الأقساط!$E:$E,MATCH(J343,جدول [2]الأقساط!$A:$A,0)), E343), "⚠️ تحصيل أكبر من قيمة القسط", "سليم"), "سليم")</f>
        <v>سليم</v>
      </c>
    </row>
    <row r="344" spans="3:12" x14ac:dyDescent="0.25">
      <c r="C344" t="str">
        <f>IF(I344="","",IFERROR(INDEX(المبيعات!$C:$C,MATCH(I344,المبيعات!$A:$A,0)),""))</f>
        <v/>
      </c>
      <c r="L344" t="str">
        <f>IF(AND(J344&lt;&gt;"", E344&lt;&gt;""), IF(E344 &gt; IFERROR(INDEX(جدول [2]الأقساط!$E:$E,MATCH(J344,جدول [2]الأقساط!$A:$A,0)), E344), "⚠️ تحصيل أكبر من قيمة القسط", "سليم"), "سليم")</f>
        <v>سليم</v>
      </c>
    </row>
    <row r="345" spans="3:12" x14ac:dyDescent="0.25">
      <c r="C345" t="str">
        <f>IF(I345="","",IFERROR(INDEX(المبيعات!$C:$C,MATCH(I345,المبيعات!$A:$A,0)),""))</f>
        <v/>
      </c>
      <c r="L345" t="str">
        <f>IF(AND(J345&lt;&gt;"", E345&lt;&gt;""), IF(E345 &gt; IFERROR(INDEX(جدول [2]الأقساط!$E:$E,MATCH(J345,جدول [2]الأقساط!$A:$A,0)), E345), "⚠️ تحصيل أكبر من قيمة القسط", "سليم"), "سليم")</f>
        <v>سليم</v>
      </c>
    </row>
    <row r="346" spans="3:12" x14ac:dyDescent="0.25">
      <c r="C346" t="str">
        <f>IF(I346="","",IFERROR(INDEX(المبيعات!$C:$C,MATCH(I346,المبيعات!$A:$A,0)),""))</f>
        <v/>
      </c>
      <c r="L346" t="str">
        <f>IF(AND(J346&lt;&gt;"", E346&lt;&gt;""), IF(E346 &gt; IFERROR(INDEX(جدول [2]الأقساط!$E:$E,MATCH(J346,جدول [2]الأقساط!$A:$A,0)), E346), "⚠️ تحصيل أكبر من قيمة القسط", "سليم"), "سليم")</f>
        <v>سليم</v>
      </c>
    </row>
    <row r="347" spans="3:12" x14ac:dyDescent="0.25">
      <c r="C347" t="str">
        <f>IF(I347="","",IFERROR(INDEX(المبيعات!$C:$C,MATCH(I347,المبيعات!$A:$A,0)),""))</f>
        <v/>
      </c>
      <c r="L347" t="str">
        <f>IF(AND(J347&lt;&gt;"", E347&lt;&gt;""), IF(E347 &gt; IFERROR(INDEX(جدول [2]الأقساط!$E:$E,MATCH(J347,جدول [2]الأقساط!$A:$A,0)), E347), "⚠️ تحصيل أكبر من قيمة القسط", "سليم"), "سليم")</f>
        <v>سليم</v>
      </c>
    </row>
    <row r="348" spans="3:12" x14ac:dyDescent="0.25">
      <c r="C348" t="str">
        <f>IF(I348="","",IFERROR(INDEX(المبيعات!$C:$C,MATCH(I348,المبيعات!$A:$A,0)),""))</f>
        <v/>
      </c>
      <c r="L348" t="str">
        <f>IF(AND(J348&lt;&gt;"", E348&lt;&gt;""), IF(E348 &gt; IFERROR(INDEX(جدول [2]الأقساط!$E:$E,MATCH(J348,جدول [2]الأقساط!$A:$A,0)), E348), "⚠️ تحصيل أكبر من قيمة القسط", "سليم"), "سليم")</f>
        <v>سليم</v>
      </c>
    </row>
    <row r="349" spans="3:12" x14ac:dyDescent="0.25">
      <c r="C349" t="str">
        <f>IF(I349="","",IFERROR(INDEX(المبيعات!$C:$C,MATCH(I349,المبيعات!$A:$A,0)),""))</f>
        <v/>
      </c>
      <c r="L349" t="str">
        <f>IF(AND(J349&lt;&gt;"", E349&lt;&gt;""), IF(E349 &gt; IFERROR(INDEX(جدول [2]الأقساط!$E:$E,MATCH(J349,جدول [2]الأقساط!$A:$A,0)), E349), "⚠️ تحصيل أكبر من قيمة القسط", "سليم"), "سليم")</f>
        <v>سليم</v>
      </c>
    </row>
    <row r="350" spans="3:12" x14ac:dyDescent="0.25">
      <c r="C350" t="str">
        <f>IF(I350="","",IFERROR(INDEX(المبيعات!$C:$C,MATCH(I350,المبيعات!$A:$A,0)),""))</f>
        <v/>
      </c>
      <c r="L350" t="str">
        <f>IF(AND(J350&lt;&gt;"", E350&lt;&gt;""), IF(E350 &gt; IFERROR(INDEX(جدول [2]الأقساط!$E:$E,MATCH(J350,جدول [2]الأقساط!$A:$A,0)), E350), "⚠️ تحصيل أكبر من قيمة القسط", "سليم"), "سليم")</f>
        <v>سليم</v>
      </c>
    </row>
    <row r="351" spans="3:12" x14ac:dyDescent="0.25">
      <c r="C351" t="str">
        <f>IF(I351="","",IFERROR(INDEX(المبيعات!$C:$C,MATCH(I351,المبيعات!$A:$A,0)),""))</f>
        <v/>
      </c>
      <c r="L351" t="str">
        <f>IF(AND(J351&lt;&gt;"", E351&lt;&gt;""), IF(E351 &gt; IFERROR(INDEX(جدول [2]الأقساط!$E:$E,MATCH(J351,جدول [2]الأقساط!$A:$A,0)), E351), "⚠️ تحصيل أكبر من قيمة القسط", "سليم"), "سليم")</f>
        <v>سليم</v>
      </c>
    </row>
    <row r="352" spans="3:12" x14ac:dyDescent="0.25">
      <c r="C352" t="str">
        <f>IF(I352="","",IFERROR(INDEX(المبيعات!$C:$C,MATCH(I352,المبيعات!$A:$A,0)),""))</f>
        <v/>
      </c>
      <c r="L352" t="str">
        <f>IF(AND(J352&lt;&gt;"", E352&lt;&gt;""), IF(E352 &gt; IFERROR(INDEX(جدول [2]الأقساط!$E:$E,MATCH(J352,جدول [2]الأقساط!$A:$A,0)), E352), "⚠️ تحصيل أكبر من قيمة القسط", "سليم"), "سليم")</f>
        <v>سليم</v>
      </c>
    </row>
    <row r="353" spans="3:12" x14ac:dyDescent="0.25">
      <c r="C353" t="str">
        <f>IF(I353="","",IFERROR(INDEX(المبيعات!$C:$C,MATCH(I353,المبيعات!$A:$A,0)),""))</f>
        <v/>
      </c>
      <c r="L353" t="str">
        <f>IF(AND(J353&lt;&gt;"", E353&lt;&gt;""), IF(E353 &gt; IFERROR(INDEX(جدول [2]الأقساط!$E:$E,MATCH(J353,جدول [2]الأقساط!$A:$A,0)), E353), "⚠️ تحصيل أكبر من قيمة القسط", "سليم"), "سليم")</f>
        <v>سليم</v>
      </c>
    </row>
    <row r="354" spans="3:12" x14ac:dyDescent="0.25">
      <c r="C354" t="str">
        <f>IF(I354="","",IFERROR(INDEX(المبيعات!$C:$C,MATCH(I354,المبيعات!$A:$A,0)),""))</f>
        <v/>
      </c>
      <c r="L354" t="str">
        <f>IF(AND(J354&lt;&gt;"", E354&lt;&gt;""), IF(E354 &gt; IFERROR(INDEX(جدول [2]الأقساط!$E:$E,MATCH(J354,جدول [2]الأقساط!$A:$A,0)), E354), "⚠️ تحصيل أكبر من قيمة القسط", "سليم"), "سليم")</f>
        <v>سليم</v>
      </c>
    </row>
    <row r="355" spans="3:12" x14ac:dyDescent="0.25">
      <c r="C355" t="str">
        <f>IF(I355="","",IFERROR(INDEX(المبيعات!$C:$C,MATCH(I355,المبيعات!$A:$A,0)),""))</f>
        <v/>
      </c>
      <c r="L355" t="str">
        <f>IF(AND(J355&lt;&gt;"", E355&lt;&gt;""), IF(E355 &gt; IFERROR(INDEX(جدول [2]الأقساط!$E:$E,MATCH(J355,جدول [2]الأقساط!$A:$A,0)), E355), "⚠️ تحصيل أكبر من قيمة القسط", "سليم"), "سليم")</f>
        <v>سليم</v>
      </c>
    </row>
    <row r="356" spans="3:12" x14ac:dyDescent="0.25">
      <c r="C356" t="str">
        <f>IF(I356="","",IFERROR(INDEX(المبيعات!$C:$C,MATCH(I356,المبيعات!$A:$A,0)),""))</f>
        <v/>
      </c>
      <c r="L356" t="str">
        <f>IF(AND(J356&lt;&gt;"", E356&lt;&gt;""), IF(E356 &gt; IFERROR(INDEX(جدول [2]الأقساط!$E:$E,MATCH(J356,جدول [2]الأقساط!$A:$A,0)), E356), "⚠️ تحصيل أكبر من قيمة القسط", "سليم"), "سليم")</f>
        <v>سليم</v>
      </c>
    </row>
    <row r="357" spans="3:12" x14ac:dyDescent="0.25">
      <c r="C357" t="str">
        <f>IF(I357="","",IFERROR(INDEX(المبيعات!$C:$C,MATCH(I357,المبيعات!$A:$A,0)),""))</f>
        <v/>
      </c>
      <c r="L357" t="str">
        <f>IF(AND(J357&lt;&gt;"", E357&lt;&gt;""), IF(E357 &gt; IFERROR(INDEX(جدول [2]الأقساط!$E:$E,MATCH(J357,جدول [2]الأقساط!$A:$A,0)), E357), "⚠️ تحصيل أكبر من قيمة القسط", "سليم"), "سليم")</f>
        <v>سليم</v>
      </c>
    </row>
    <row r="358" spans="3:12" x14ac:dyDescent="0.25">
      <c r="C358" t="str">
        <f>IF(I358="","",IFERROR(INDEX(المبيعات!$C:$C,MATCH(I358,المبيعات!$A:$A,0)),""))</f>
        <v/>
      </c>
      <c r="L358" t="str">
        <f>IF(AND(J358&lt;&gt;"", E358&lt;&gt;""), IF(E358 &gt; IFERROR(INDEX(جدول [2]الأقساط!$E:$E,MATCH(J358,جدول [2]الأقساط!$A:$A,0)), E358), "⚠️ تحصيل أكبر من قيمة القسط", "سليم"), "سليم")</f>
        <v>سليم</v>
      </c>
    </row>
    <row r="359" spans="3:12" x14ac:dyDescent="0.25">
      <c r="C359" t="str">
        <f>IF(I359="","",IFERROR(INDEX(المبيعات!$C:$C,MATCH(I359,المبيعات!$A:$A,0)),""))</f>
        <v/>
      </c>
      <c r="L359" t="str">
        <f>IF(AND(J359&lt;&gt;"", E359&lt;&gt;""), IF(E359 &gt; IFERROR(INDEX(جدول [2]الأقساط!$E:$E,MATCH(J359,جدول [2]الأقساط!$A:$A,0)), E359), "⚠️ تحصيل أكبر من قيمة القسط", "سليم"), "سليم")</f>
        <v>سليم</v>
      </c>
    </row>
    <row r="360" spans="3:12" x14ac:dyDescent="0.25">
      <c r="C360" t="str">
        <f>IF(I360="","",IFERROR(INDEX(المبيعات!$C:$C,MATCH(I360,المبيعات!$A:$A,0)),""))</f>
        <v/>
      </c>
      <c r="L360" t="str">
        <f>IF(AND(J360&lt;&gt;"", E360&lt;&gt;""), IF(E360 &gt; IFERROR(INDEX(جدول [2]الأقساط!$E:$E,MATCH(J360,جدول [2]الأقساط!$A:$A,0)), E360), "⚠️ تحصيل أكبر من قيمة القسط", "سليم"), "سليم")</f>
        <v>سليم</v>
      </c>
    </row>
    <row r="361" spans="3:12" x14ac:dyDescent="0.25">
      <c r="C361" t="str">
        <f>IF(I361="","",IFERROR(INDEX(المبيعات!$C:$C,MATCH(I361,المبيعات!$A:$A,0)),""))</f>
        <v/>
      </c>
      <c r="L361" t="str">
        <f>IF(AND(J361&lt;&gt;"", E361&lt;&gt;""), IF(E361 &gt; IFERROR(INDEX(جدول [2]الأقساط!$E:$E,MATCH(J361,جدول [2]الأقساط!$A:$A,0)), E361), "⚠️ تحصيل أكبر من قيمة القسط", "سليم"), "سليم")</f>
        <v>سليم</v>
      </c>
    </row>
    <row r="362" spans="3:12" x14ac:dyDescent="0.25">
      <c r="C362" t="str">
        <f>IF(I362="","",IFERROR(INDEX(المبيعات!$C:$C,MATCH(I362,المبيعات!$A:$A,0)),""))</f>
        <v/>
      </c>
      <c r="L362" t="str">
        <f>IF(AND(J362&lt;&gt;"", E362&lt;&gt;""), IF(E362 &gt; IFERROR(INDEX(جدول [2]الأقساط!$E:$E,MATCH(J362,جدول [2]الأقساط!$A:$A,0)), E362), "⚠️ تحصيل أكبر من قيمة القسط", "سليم"), "سليم")</f>
        <v>سليم</v>
      </c>
    </row>
    <row r="363" spans="3:12" x14ac:dyDescent="0.25">
      <c r="C363" t="str">
        <f>IF(I363="","",IFERROR(INDEX(المبيعات!$C:$C,MATCH(I363,المبيعات!$A:$A,0)),""))</f>
        <v/>
      </c>
      <c r="L363" t="str">
        <f>IF(AND(J363&lt;&gt;"", E363&lt;&gt;""), IF(E363 &gt; IFERROR(INDEX(جدول [2]الأقساط!$E:$E,MATCH(J363,جدول [2]الأقساط!$A:$A,0)), E363), "⚠️ تحصيل أكبر من قيمة القسط", "سليم"), "سليم")</f>
        <v>سليم</v>
      </c>
    </row>
    <row r="364" spans="3:12" x14ac:dyDescent="0.25">
      <c r="C364" t="str">
        <f>IF(I364="","",IFERROR(INDEX(المبيعات!$C:$C,MATCH(I364,المبيعات!$A:$A,0)),""))</f>
        <v/>
      </c>
      <c r="L364" t="str">
        <f>IF(AND(J364&lt;&gt;"", E364&lt;&gt;""), IF(E364 &gt; IFERROR(INDEX(جدول [2]الأقساط!$E:$E,MATCH(J364,جدول [2]الأقساط!$A:$A,0)), E364), "⚠️ تحصيل أكبر من قيمة القسط", "سليم"), "سليم")</f>
        <v>سليم</v>
      </c>
    </row>
    <row r="365" spans="3:12" x14ac:dyDescent="0.25">
      <c r="C365" t="str">
        <f>IF(I365="","",IFERROR(INDEX(المبيعات!$C:$C,MATCH(I365,المبيعات!$A:$A,0)),""))</f>
        <v/>
      </c>
      <c r="L365" t="str">
        <f>IF(AND(J365&lt;&gt;"", E365&lt;&gt;""), IF(E365 &gt; IFERROR(INDEX(جدول [2]الأقساط!$E:$E,MATCH(J365,جدول [2]الأقساط!$A:$A,0)), E365), "⚠️ تحصيل أكبر من قيمة القسط", "سليم"), "سليم")</f>
        <v>سليم</v>
      </c>
    </row>
    <row r="366" spans="3:12" x14ac:dyDescent="0.25">
      <c r="C366" t="str">
        <f>IF(I366="","",IFERROR(INDEX(المبيعات!$C:$C,MATCH(I366,المبيعات!$A:$A,0)),""))</f>
        <v/>
      </c>
      <c r="L366" t="str">
        <f>IF(AND(J366&lt;&gt;"", E366&lt;&gt;""), IF(E366 &gt; IFERROR(INDEX(جدول [2]الأقساط!$E:$E,MATCH(J366,جدول [2]الأقساط!$A:$A,0)), E366), "⚠️ تحصيل أكبر من قيمة القسط", "سليم"), "سليم")</f>
        <v>سليم</v>
      </c>
    </row>
    <row r="367" spans="3:12" x14ac:dyDescent="0.25">
      <c r="C367" t="str">
        <f>IF(I367="","",IFERROR(INDEX(المبيعات!$C:$C,MATCH(I367,المبيعات!$A:$A,0)),""))</f>
        <v/>
      </c>
      <c r="L367" t="str">
        <f>IF(AND(J367&lt;&gt;"", E367&lt;&gt;""), IF(E367 &gt; IFERROR(INDEX(جدول [2]الأقساط!$E:$E,MATCH(J367,جدول [2]الأقساط!$A:$A,0)), E367), "⚠️ تحصيل أكبر من قيمة القسط", "سليم"), "سليم")</f>
        <v>سليم</v>
      </c>
    </row>
    <row r="368" spans="3:12" x14ac:dyDescent="0.25">
      <c r="C368" t="str">
        <f>IF(I368="","",IFERROR(INDEX(المبيعات!$C:$C,MATCH(I368,المبيعات!$A:$A,0)),""))</f>
        <v/>
      </c>
      <c r="L368" t="str">
        <f>IF(AND(J368&lt;&gt;"", E368&lt;&gt;""), IF(E368 &gt; IFERROR(INDEX(جدول [2]الأقساط!$E:$E,MATCH(J368,جدول [2]الأقساط!$A:$A,0)), E368), "⚠️ تحصيل أكبر من قيمة القسط", "سليم"), "سليم")</f>
        <v>سليم</v>
      </c>
    </row>
    <row r="369" spans="3:12" x14ac:dyDescent="0.25">
      <c r="C369" t="str">
        <f>IF(I369="","",IFERROR(INDEX(المبيعات!$C:$C,MATCH(I369,المبيعات!$A:$A,0)),""))</f>
        <v/>
      </c>
      <c r="L369" t="str">
        <f>IF(AND(J369&lt;&gt;"", E369&lt;&gt;""), IF(E369 &gt; IFERROR(INDEX(جدول [2]الأقساط!$E:$E,MATCH(J369,جدول [2]الأقساط!$A:$A,0)), E369), "⚠️ تحصيل أكبر من قيمة القسط", "سليم"), "سليم")</f>
        <v>سليم</v>
      </c>
    </row>
    <row r="370" spans="3:12" x14ac:dyDescent="0.25">
      <c r="C370" t="str">
        <f>IF(I370="","",IFERROR(INDEX(المبيعات!$C:$C,MATCH(I370,المبيعات!$A:$A,0)),""))</f>
        <v/>
      </c>
      <c r="L370" t="str">
        <f>IF(AND(J370&lt;&gt;"", E370&lt;&gt;""), IF(E370 &gt; IFERROR(INDEX(جدول [2]الأقساط!$E:$E,MATCH(J370,جدول [2]الأقساط!$A:$A,0)), E370), "⚠️ تحصيل أكبر من قيمة القسط", "سليم"), "سليم")</f>
        <v>سليم</v>
      </c>
    </row>
    <row r="371" spans="3:12" x14ac:dyDescent="0.25">
      <c r="C371" t="str">
        <f>IF(I371="","",IFERROR(INDEX(المبيعات!$C:$C,MATCH(I371,المبيعات!$A:$A,0)),""))</f>
        <v/>
      </c>
      <c r="L371" t="str">
        <f>IF(AND(J371&lt;&gt;"", E371&lt;&gt;""), IF(E371 &gt; IFERROR(INDEX(جدول [2]الأقساط!$E:$E,MATCH(J371,جدول [2]الأقساط!$A:$A,0)), E371), "⚠️ تحصيل أكبر من قيمة القسط", "سليم"), "سليم")</f>
        <v>سليم</v>
      </c>
    </row>
    <row r="372" spans="3:12" x14ac:dyDescent="0.25">
      <c r="C372" t="str">
        <f>IF(I372="","",IFERROR(INDEX(المبيعات!$C:$C,MATCH(I372,المبيعات!$A:$A,0)),""))</f>
        <v/>
      </c>
      <c r="L372" t="str">
        <f>IF(AND(J372&lt;&gt;"", E372&lt;&gt;""), IF(E372 &gt; IFERROR(INDEX(جدول [2]الأقساط!$E:$E,MATCH(J372,جدول [2]الأقساط!$A:$A,0)), E372), "⚠️ تحصيل أكبر من قيمة القسط", "سليم"), "سليم")</f>
        <v>سليم</v>
      </c>
    </row>
    <row r="373" spans="3:12" x14ac:dyDescent="0.25">
      <c r="C373" t="str">
        <f>IF(I373="","",IFERROR(INDEX(المبيعات!$C:$C,MATCH(I373,المبيعات!$A:$A,0)),""))</f>
        <v/>
      </c>
      <c r="L373" t="str">
        <f>IF(AND(J373&lt;&gt;"", E373&lt;&gt;""), IF(E373 &gt; IFERROR(INDEX(جدول [2]الأقساط!$E:$E,MATCH(J373,جدول [2]الأقساط!$A:$A,0)), E373), "⚠️ تحصيل أكبر من قيمة القسط", "سليم"), "سليم")</f>
        <v>سليم</v>
      </c>
    </row>
    <row r="374" spans="3:12" x14ac:dyDescent="0.25">
      <c r="C374" t="str">
        <f>IF(I374="","",IFERROR(INDEX(المبيعات!$C:$C,MATCH(I374,المبيعات!$A:$A,0)),""))</f>
        <v/>
      </c>
      <c r="L374" t="str">
        <f>IF(AND(J374&lt;&gt;"", E374&lt;&gt;""), IF(E374 &gt; IFERROR(INDEX(جدول [2]الأقساط!$E:$E,MATCH(J374,جدول [2]الأقساط!$A:$A,0)), E374), "⚠️ تحصيل أكبر من قيمة القسط", "سليم"), "سليم")</f>
        <v>سليم</v>
      </c>
    </row>
    <row r="375" spans="3:12" x14ac:dyDescent="0.25">
      <c r="C375" t="str">
        <f>IF(I375="","",IFERROR(INDEX(المبيعات!$C:$C,MATCH(I375,المبيعات!$A:$A,0)),""))</f>
        <v/>
      </c>
      <c r="L375" t="str">
        <f>IF(AND(J375&lt;&gt;"", E375&lt;&gt;""), IF(E375 &gt; IFERROR(INDEX(جدول [2]الأقساط!$E:$E,MATCH(J375,جدول [2]الأقساط!$A:$A,0)), E375), "⚠️ تحصيل أكبر من قيمة القسط", "سليم"), "سليم")</f>
        <v>سليم</v>
      </c>
    </row>
    <row r="376" spans="3:12" x14ac:dyDescent="0.25">
      <c r="C376" t="str">
        <f>IF(I376="","",IFERROR(INDEX(المبيعات!$C:$C,MATCH(I376,المبيعات!$A:$A,0)),""))</f>
        <v/>
      </c>
      <c r="L376" t="str">
        <f>IF(AND(J376&lt;&gt;"", E376&lt;&gt;""), IF(E376 &gt; IFERROR(INDEX(جدول [2]الأقساط!$E:$E,MATCH(J376,جدول [2]الأقساط!$A:$A,0)), E376), "⚠️ تحصيل أكبر من قيمة القسط", "سليم"), "سليم")</f>
        <v>سليم</v>
      </c>
    </row>
    <row r="377" spans="3:12" x14ac:dyDescent="0.25">
      <c r="C377" t="str">
        <f>IF(I377="","",IFERROR(INDEX(المبيعات!$C:$C,MATCH(I377,المبيعات!$A:$A,0)),""))</f>
        <v/>
      </c>
      <c r="L377" t="str">
        <f>IF(AND(J377&lt;&gt;"", E377&lt;&gt;""), IF(E377 &gt; IFERROR(INDEX(جدول [2]الأقساط!$E:$E,MATCH(J377,جدول [2]الأقساط!$A:$A,0)), E377), "⚠️ تحصيل أكبر من قيمة القسط", "سليم"), "سليم")</f>
        <v>سليم</v>
      </c>
    </row>
    <row r="378" spans="3:12" x14ac:dyDescent="0.25">
      <c r="C378" t="str">
        <f>IF(I378="","",IFERROR(INDEX(المبيعات!$C:$C,MATCH(I378,المبيعات!$A:$A,0)),""))</f>
        <v/>
      </c>
      <c r="L378" t="str">
        <f>IF(AND(J378&lt;&gt;"", E378&lt;&gt;""), IF(E378 &gt; IFERROR(INDEX(جدول [2]الأقساط!$E:$E,MATCH(J378,جدول [2]الأقساط!$A:$A,0)), E378), "⚠️ تحصيل أكبر من قيمة القسط", "سليم"), "سليم")</f>
        <v>سليم</v>
      </c>
    </row>
    <row r="379" spans="3:12" x14ac:dyDescent="0.25">
      <c r="C379" t="str">
        <f>IF(I379="","",IFERROR(INDEX(المبيعات!$C:$C,MATCH(I379,المبيعات!$A:$A,0)),""))</f>
        <v/>
      </c>
      <c r="L379" t="str">
        <f>IF(AND(J379&lt;&gt;"", E379&lt;&gt;""), IF(E379 &gt; IFERROR(INDEX(جدول [2]الأقساط!$E:$E,MATCH(J379,جدول [2]الأقساط!$A:$A,0)), E379), "⚠️ تحصيل أكبر من قيمة القسط", "سليم"), "سليم")</f>
        <v>سليم</v>
      </c>
    </row>
    <row r="380" spans="3:12" x14ac:dyDescent="0.25">
      <c r="C380" t="str">
        <f>IF(I380="","",IFERROR(INDEX(المبيعات!$C:$C,MATCH(I380,المبيعات!$A:$A,0)),""))</f>
        <v/>
      </c>
      <c r="L380" t="str">
        <f>IF(AND(J380&lt;&gt;"", E380&lt;&gt;""), IF(E380 &gt; IFERROR(INDEX(جدول [2]الأقساط!$E:$E,MATCH(J380,جدول [2]الأقساط!$A:$A,0)), E380), "⚠️ تحصيل أكبر من قيمة القسط", "سليم"), "سليم")</f>
        <v>سليم</v>
      </c>
    </row>
    <row r="381" spans="3:12" x14ac:dyDescent="0.25">
      <c r="C381" t="str">
        <f>IF(I381="","",IFERROR(INDEX(المبيعات!$C:$C,MATCH(I381,المبيعات!$A:$A,0)),""))</f>
        <v/>
      </c>
      <c r="L381" t="str">
        <f>IF(AND(J381&lt;&gt;"", E381&lt;&gt;""), IF(E381 &gt; IFERROR(INDEX(جدول [2]الأقساط!$E:$E,MATCH(J381,جدول [2]الأقساط!$A:$A,0)), E381), "⚠️ تحصيل أكبر من قيمة القسط", "سليم"), "سليم")</f>
        <v>سليم</v>
      </c>
    </row>
    <row r="382" spans="3:12" x14ac:dyDescent="0.25">
      <c r="C382" t="str">
        <f>IF(I382="","",IFERROR(INDEX(المبيعات!$C:$C,MATCH(I382,المبيعات!$A:$A,0)),""))</f>
        <v/>
      </c>
      <c r="L382" t="str">
        <f>IF(AND(J382&lt;&gt;"", E382&lt;&gt;""), IF(E382 &gt; IFERROR(INDEX(جدول [2]الأقساط!$E:$E,MATCH(J382,جدول [2]الأقساط!$A:$A,0)), E382), "⚠️ تحصيل أكبر من قيمة القسط", "سليم"), "سليم")</f>
        <v>سليم</v>
      </c>
    </row>
    <row r="383" spans="3:12" x14ac:dyDescent="0.25">
      <c r="C383" t="str">
        <f>IF(I383="","",IFERROR(INDEX(المبيعات!$C:$C,MATCH(I383,المبيعات!$A:$A,0)),""))</f>
        <v/>
      </c>
      <c r="L383" t="str">
        <f>IF(AND(J383&lt;&gt;"", E383&lt;&gt;""), IF(E383 &gt; IFERROR(INDEX(جدول [2]الأقساط!$E:$E,MATCH(J383,جدول [2]الأقساط!$A:$A,0)), E383), "⚠️ تحصيل أكبر من قيمة القسط", "سليم"), "سليم")</f>
        <v>سليم</v>
      </c>
    </row>
    <row r="384" spans="3:12" x14ac:dyDescent="0.25">
      <c r="C384" t="str">
        <f>IF(I384="","",IFERROR(INDEX(المبيعات!$C:$C,MATCH(I384,المبيعات!$A:$A,0)),""))</f>
        <v/>
      </c>
      <c r="L384" t="str">
        <f>IF(AND(J384&lt;&gt;"", E384&lt;&gt;""), IF(E384 &gt; IFERROR(INDEX(جدول [2]الأقساط!$E:$E,MATCH(J384,جدول [2]الأقساط!$A:$A,0)), E384), "⚠️ تحصيل أكبر من قيمة القسط", "سليم"), "سليم")</f>
        <v>سليم</v>
      </c>
    </row>
    <row r="385" spans="3:12" x14ac:dyDescent="0.25">
      <c r="C385" t="str">
        <f>IF(I385="","",IFERROR(INDEX(المبيعات!$C:$C,MATCH(I385,المبيعات!$A:$A,0)),""))</f>
        <v/>
      </c>
      <c r="L385" t="str">
        <f>IF(AND(J385&lt;&gt;"", E385&lt;&gt;""), IF(E385 &gt; IFERROR(INDEX(جدول [2]الأقساط!$E:$E,MATCH(J385,جدول [2]الأقساط!$A:$A,0)), E385), "⚠️ تحصيل أكبر من قيمة القسط", "سليم"), "سليم")</f>
        <v>سليم</v>
      </c>
    </row>
    <row r="386" spans="3:12" x14ac:dyDescent="0.25">
      <c r="C386" t="str">
        <f>IF(I386="","",IFERROR(INDEX(المبيعات!$C:$C,MATCH(I386,المبيعات!$A:$A,0)),""))</f>
        <v/>
      </c>
      <c r="L386" t="str">
        <f>IF(AND(J386&lt;&gt;"", E386&lt;&gt;""), IF(E386 &gt; IFERROR(INDEX(جدول [2]الأقساط!$E:$E,MATCH(J386,جدول [2]الأقساط!$A:$A,0)), E386), "⚠️ تحصيل أكبر من قيمة القسط", "سليم"), "سليم")</f>
        <v>سليم</v>
      </c>
    </row>
    <row r="387" spans="3:12" x14ac:dyDescent="0.25">
      <c r="C387" t="str">
        <f>IF(I387="","",IFERROR(INDEX(المبيعات!$C:$C,MATCH(I387,المبيعات!$A:$A,0)),""))</f>
        <v/>
      </c>
      <c r="L387" t="str">
        <f>IF(AND(J387&lt;&gt;"", E387&lt;&gt;""), IF(E387 &gt; IFERROR(INDEX(جدول [2]الأقساط!$E:$E,MATCH(J387,جدول [2]الأقساط!$A:$A,0)), E387), "⚠️ تحصيل أكبر من قيمة القسط", "سليم"), "سليم")</f>
        <v>سليم</v>
      </c>
    </row>
    <row r="388" spans="3:12" x14ac:dyDescent="0.25">
      <c r="C388" t="str">
        <f>IF(I388="","",IFERROR(INDEX(المبيعات!$C:$C,MATCH(I388,المبيعات!$A:$A,0)),""))</f>
        <v/>
      </c>
      <c r="L388" t="str">
        <f>IF(AND(J388&lt;&gt;"", E388&lt;&gt;""), IF(E388 &gt; IFERROR(INDEX(جدول [2]الأقساط!$E:$E,MATCH(J388,جدول [2]الأقساط!$A:$A,0)), E388), "⚠️ تحصيل أكبر من قيمة القسط", "سليم"), "سليم")</f>
        <v>سليم</v>
      </c>
    </row>
    <row r="389" spans="3:12" x14ac:dyDescent="0.25">
      <c r="C389" t="str">
        <f>IF(I389="","",IFERROR(INDEX(المبيعات!$C:$C,MATCH(I389,المبيعات!$A:$A,0)),""))</f>
        <v/>
      </c>
      <c r="L389" t="str">
        <f>IF(AND(J389&lt;&gt;"", E389&lt;&gt;""), IF(E389 &gt; IFERROR(INDEX(جدول [2]الأقساط!$E:$E,MATCH(J389,جدول [2]الأقساط!$A:$A,0)), E389), "⚠️ تحصيل أكبر من قيمة القسط", "سليم"), "سليم")</f>
        <v>سليم</v>
      </c>
    </row>
    <row r="390" spans="3:12" x14ac:dyDescent="0.25">
      <c r="C390" t="str">
        <f>IF(I390="","",IFERROR(INDEX(المبيعات!$C:$C,MATCH(I390,المبيعات!$A:$A,0)),""))</f>
        <v/>
      </c>
      <c r="L390" t="str">
        <f>IF(AND(J390&lt;&gt;"", E390&lt;&gt;""), IF(E390 &gt; IFERROR(INDEX(جدول [2]الأقساط!$E:$E,MATCH(J390,جدول [2]الأقساط!$A:$A,0)), E390), "⚠️ تحصيل أكبر من قيمة القسط", "سليم"), "سليم")</f>
        <v>سليم</v>
      </c>
    </row>
    <row r="391" spans="3:12" x14ac:dyDescent="0.25">
      <c r="C391" t="str">
        <f>IF(I391="","",IFERROR(INDEX(المبيعات!$C:$C,MATCH(I391,المبيعات!$A:$A,0)),""))</f>
        <v/>
      </c>
      <c r="L391" t="str">
        <f>IF(AND(J391&lt;&gt;"", E391&lt;&gt;""), IF(E391 &gt; IFERROR(INDEX(جدول [2]الأقساط!$E:$E,MATCH(J391,جدول [2]الأقساط!$A:$A,0)), E391), "⚠️ تحصيل أكبر من قيمة القسط", "سليم"), "سليم")</f>
        <v>سليم</v>
      </c>
    </row>
    <row r="392" spans="3:12" x14ac:dyDescent="0.25">
      <c r="C392" t="str">
        <f>IF(I392="","",IFERROR(INDEX(المبيعات!$C:$C,MATCH(I392,المبيعات!$A:$A,0)),""))</f>
        <v/>
      </c>
      <c r="L392" t="str">
        <f>IF(AND(J392&lt;&gt;"", E392&lt;&gt;""), IF(E392 &gt; IFERROR(INDEX(جدول [2]الأقساط!$E:$E,MATCH(J392,جدول [2]الأقساط!$A:$A,0)), E392), "⚠️ تحصيل أكبر من قيمة القسط", "سليم"), "سليم")</f>
        <v>سليم</v>
      </c>
    </row>
    <row r="393" spans="3:12" x14ac:dyDescent="0.25">
      <c r="C393" t="str">
        <f>IF(I393="","",IFERROR(INDEX(المبيعات!$C:$C,MATCH(I393,المبيعات!$A:$A,0)),""))</f>
        <v/>
      </c>
      <c r="L393" t="str">
        <f>IF(AND(J393&lt;&gt;"", E393&lt;&gt;""), IF(E393 &gt; IFERROR(INDEX(جدول [2]الأقساط!$E:$E,MATCH(J393,جدول [2]الأقساط!$A:$A,0)), E393), "⚠️ تحصيل أكبر من قيمة القسط", "سليم"), "سليم")</f>
        <v>سليم</v>
      </c>
    </row>
    <row r="394" spans="3:12" x14ac:dyDescent="0.25">
      <c r="C394" t="str">
        <f>IF(I394="","",IFERROR(INDEX(المبيعات!$C:$C,MATCH(I394,المبيعات!$A:$A,0)),""))</f>
        <v/>
      </c>
      <c r="L394" t="str">
        <f>IF(AND(J394&lt;&gt;"", E394&lt;&gt;""), IF(E394 &gt; IFERROR(INDEX(جدول [2]الأقساط!$E:$E,MATCH(J394,جدول [2]الأقساط!$A:$A,0)), E394), "⚠️ تحصيل أكبر من قيمة القسط", "سليم"), "سليم")</f>
        <v>سليم</v>
      </c>
    </row>
    <row r="395" spans="3:12" x14ac:dyDescent="0.25">
      <c r="C395" t="str">
        <f>IF(I395="","",IFERROR(INDEX(المبيعات!$C:$C,MATCH(I395,المبيعات!$A:$A,0)),""))</f>
        <v/>
      </c>
      <c r="L395" t="str">
        <f>IF(AND(J395&lt;&gt;"", E395&lt;&gt;""), IF(E395 &gt; IFERROR(INDEX(جدول [2]الأقساط!$E:$E,MATCH(J395,جدول [2]الأقساط!$A:$A,0)), E395), "⚠️ تحصيل أكبر من قيمة القسط", "سليم"), "سليم")</f>
        <v>سليم</v>
      </c>
    </row>
    <row r="396" spans="3:12" x14ac:dyDescent="0.25">
      <c r="C396" t="str">
        <f>IF(I396="","",IFERROR(INDEX(المبيعات!$C:$C,MATCH(I396,المبيعات!$A:$A,0)),""))</f>
        <v/>
      </c>
      <c r="L396" t="str">
        <f>IF(AND(J396&lt;&gt;"", E396&lt;&gt;""), IF(E396 &gt; IFERROR(INDEX(جدول [2]الأقساط!$E:$E,MATCH(J396,جدول [2]الأقساط!$A:$A,0)), E396), "⚠️ تحصيل أكبر من قيمة القسط", "سليم"), "سليم")</f>
        <v>سليم</v>
      </c>
    </row>
    <row r="397" spans="3:12" x14ac:dyDescent="0.25">
      <c r="C397" t="str">
        <f>IF(I397="","",IFERROR(INDEX(المبيعات!$C:$C,MATCH(I397,المبيعات!$A:$A,0)),""))</f>
        <v/>
      </c>
      <c r="L397" t="str">
        <f>IF(AND(J397&lt;&gt;"", E397&lt;&gt;""), IF(E397 &gt; IFERROR(INDEX(جدول [2]الأقساط!$E:$E,MATCH(J397,جدول [2]الأقساط!$A:$A,0)), E397), "⚠️ تحصيل أكبر من قيمة القسط", "سليم"), "سليم")</f>
        <v>سليم</v>
      </c>
    </row>
    <row r="398" spans="3:12" x14ac:dyDescent="0.25">
      <c r="C398" t="str">
        <f>IF(I398="","",IFERROR(INDEX(المبيعات!$C:$C,MATCH(I398,المبيعات!$A:$A,0)),""))</f>
        <v/>
      </c>
      <c r="L398" t="str">
        <f>IF(AND(J398&lt;&gt;"", E398&lt;&gt;""), IF(E398 &gt; IFERROR(INDEX(جدول [2]الأقساط!$E:$E,MATCH(J398,جدول [2]الأقساط!$A:$A,0)), E398), "⚠️ تحصيل أكبر من قيمة القسط", "سليم"), "سليم")</f>
        <v>سليم</v>
      </c>
    </row>
    <row r="399" spans="3:12" x14ac:dyDescent="0.25">
      <c r="C399" t="str">
        <f>IF(I399="","",IFERROR(INDEX(المبيعات!$C:$C,MATCH(I399,المبيعات!$A:$A,0)),""))</f>
        <v/>
      </c>
      <c r="L399" t="str">
        <f>IF(AND(J399&lt;&gt;"", E399&lt;&gt;""), IF(E399 &gt; IFERROR(INDEX(جدول [2]الأقساط!$E:$E,MATCH(J399,جدول [2]الأقساط!$A:$A,0)), E399), "⚠️ تحصيل أكبر من قيمة القسط", "سليم"), "سليم")</f>
        <v>سليم</v>
      </c>
    </row>
    <row r="400" spans="3:12" x14ac:dyDescent="0.25">
      <c r="C400" t="str">
        <f>IF(I400="","",IFERROR(INDEX(المبيعات!$C:$C,MATCH(I400,المبيعات!$A:$A,0)),""))</f>
        <v/>
      </c>
      <c r="L400" t="str">
        <f>IF(AND(J400&lt;&gt;"", E400&lt;&gt;""), IF(E400 &gt; IFERROR(INDEX(جدول [2]الأقساط!$E:$E,MATCH(J400,جدول [2]الأقساط!$A:$A,0)), E400), "⚠️ تحصيل أكبر من قيمة القسط", "سليم"), "سليم")</f>
        <v>سليم</v>
      </c>
    </row>
    <row r="401" spans="3:12" x14ac:dyDescent="0.25">
      <c r="C401" t="str">
        <f>IF(I401="","",IFERROR(INDEX(المبيعات!$C:$C,MATCH(I401,المبيعات!$A:$A,0)),""))</f>
        <v/>
      </c>
      <c r="L401" t="str">
        <f>IF(AND(J401&lt;&gt;"", E401&lt;&gt;""), IF(E401 &gt; IFERROR(INDEX(جدول [2]الأقساط!$E:$E,MATCH(J401,جدول [2]الأقساط!$A:$A,0)), E401), "⚠️ تحصيل أكبر من قيمة القسط", "سليم"), "سليم")</f>
        <v>سليم</v>
      </c>
    </row>
    <row r="402" spans="3:12" x14ac:dyDescent="0.25">
      <c r="C402" t="str">
        <f>IF(I402="","",IFERROR(INDEX(المبيعات!$C:$C,MATCH(I402,المبيعات!$A:$A,0)),""))</f>
        <v/>
      </c>
      <c r="L402" t="str">
        <f>IF(AND(J402&lt;&gt;"", E402&lt;&gt;""), IF(E402 &gt; IFERROR(INDEX(جدول [2]الأقساط!$E:$E,MATCH(J402,جدول [2]الأقساط!$A:$A,0)), E402), "⚠️ تحصيل أكبر من قيمة القسط", "سليم"), "سليم")</f>
        <v>سليم</v>
      </c>
    </row>
    <row r="403" spans="3:12" x14ac:dyDescent="0.25">
      <c r="C403" t="str">
        <f>IF(I403="","",IFERROR(INDEX(المبيعات!$C:$C,MATCH(I403,المبيعات!$A:$A,0)),""))</f>
        <v/>
      </c>
      <c r="L403" t="str">
        <f>IF(AND(J403&lt;&gt;"", E403&lt;&gt;""), IF(E403 &gt; IFERROR(INDEX(جدول [2]الأقساط!$E:$E,MATCH(J403,جدول [2]الأقساط!$A:$A,0)), E403), "⚠️ تحصيل أكبر من قيمة القسط", "سليم"), "سليم")</f>
        <v>سليم</v>
      </c>
    </row>
    <row r="404" spans="3:12" x14ac:dyDescent="0.25">
      <c r="C404" t="str">
        <f>IF(I404="","",IFERROR(INDEX(المبيعات!$C:$C,MATCH(I404,المبيعات!$A:$A,0)),""))</f>
        <v/>
      </c>
      <c r="L404" t="str">
        <f>IF(AND(J404&lt;&gt;"", E404&lt;&gt;""), IF(E404 &gt; IFERROR(INDEX(جدول [2]الأقساط!$E:$E,MATCH(J404,جدول [2]الأقساط!$A:$A,0)), E404), "⚠️ تحصيل أكبر من قيمة القسط", "سليم"), "سليم")</f>
        <v>سليم</v>
      </c>
    </row>
    <row r="405" spans="3:12" x14ac:dyDescent="0.25">
      <c r="C405" t="str">
        <f>IF(I405="","",IFERROR(INDEX(المبيعات!$C:$C,MATCH(I405,المبيعات!$A:$A,0)),""))</f>
        <v/>
      </c>
      <c r="L405" t="str">
        <f>IF(AND(J405&lt;&gt;"", E405&lt;&gt;""), IF(E405 &gt; IFERROR(INDEX(جدول [2]الأقساط!$E:$E,MATCH(J405,جدول [2]الأقساط!$A:$A,0)), E405), "⚠️ تحصيل أكبر من قيمة القسط", "سليم"), "سليم")</f>
        <v>سليم</v>
      </c>
    </row>
    <row r="406" spans="3:12" x14ac:dyDescent="0.25">
      <c r="C406" t="str">
        <f>IF(I406="","",IFERROR(INDEX(المبيعات!$C:$C,MATCH(I406,المبيعات!$A:$A,0)),""))</f>
        <v/>
      </c>
      <c r="L406" t="str">
        <f>IF(AND(J406&lt;&gt;"", E406&lt;&gt;""), IF(E406 &gt; IFERROR(INDEX(جدول [2]الأقساط!$E:$E,MATCH(J406,جدول [2]الأقساط!$A:$A,0)), E406), "⚠️ تحصيل أكبر من قيمة القسط", "سليم"), "سليم")</f>
        <v>سليم</v>
      </c>
    </row>
    <row r="407" spans="3:12" x14ac:dyDescent="0.25">
      <c r="C407" t="str">
        <f>IF(I407="","",IFERROR(INDEX(المبيعات!$C:$C,MATCH(I407,المبيعات!$A:$A,0)),""))</f>
        <v/>
      </c>
      <c r="L407" t="str">
        <f>IF(AND(J407&lt;&gt;"", E407&lt;&gt;""), IF(E407 &gt; IFERROR(INDEX(جدول [2]الأقساط!$E:$E,MATCH(J407,جدول [2]الأقساط!$A:$A,0)), E407), "⚠️ تحصيل أكبر من قيمة القسط", "سليم"), "سليم")</f>
        <v>سليم</v>
      </c>
    </row>
    <row r="408" spans="3:12" x14ac:dyDescent="0.25">
      <c r="C408" t="str">
        <f>IF(I408="","",IFERROR(INDEX(المبيعات!$C:$C,MATCH(I408,المبيعات!$A:$A,0)),""))</f>
        <v/>
      </c>
      <c r="L408" t="str">
        <f>IF(AND(J408&lt;&gt;"", E408&lt;&gt;""), IF(E408 &gt; IFERROR(INDEX(جدول [2]الأقساط!$E:$E,MATCH(J408,جدول [2]الأقساط!$A:$A,0)), E408), "⚠️ تحصيل أكبر من قيمة القسط", "سليم"), "سليم")</f>
        <v>سليم</v>
      </c>
    </row>
    <row r="409" spans="3:12" x14ac:dyDescent="0.25">
      <c r="C409" t="str">
        <f>IF(I409="","",IFERROR(INDEX(المبيعات!$C:$C,MATCH(I409,المبيعات!$A:$A,0)),""))</f>
        <v/>
      </c>
      <c r="L409" t="str">
        <f>IF(AND(J409&lt;&gt;"", E409&lt;&gt;""), IF(E409 &gt; IFERROR(INDEX(جدول [2]الأقساط!$E:$E,MATCH(J409,جدول [2]الأقساط!$A:$A,0)), E409), "⚠️ تحصيل أكبر من قيمة القسط", "سليم"), "سليم")</f>
        <v>سليم</v>
      </c>
    </row>
    <row r="410" spans="3:12" x14ac:dyDescent="0.25">
      <c r="C410" t="str">
        <f>IF(I410="","",IFERROR(INDEX(المبيعات!$C:$C,MATCH(I410,المبيعات!$A:$A,0)),""))</f>
        <v/>
      </c>
      <c r="L410" t="str">
        <f>IF(AND(J410&lt;&gt;"", E410&lt;&gt;""), IF(E410 &gt; IFERROR(INDEX(جدول [2]الأقساط!$E:$E,MATCH(J410,جدول [2]الأقساط!$A:$A,0)), E410), "⚠️ تحصيل أكبر من قيمة القسط", "سليم"), "سليم")</f>
        <v>سليم</v>
      </c>
    </row>
    <row r="411" spans="3:12" x14ac:dyDescent="0.25">
      <c r="C411" t="str">
        <f>IF(I411="","",IFERROR(INDEX(المبيعات!$C:$C,MATCH(I411,المبيعات!$A:$A,0)),""))</f>
        <v/>
      </c>
      <c r="L411" t="str">
        <f>IF(AND(J411&lt;&gt;"", E411&lt;&gt;""), IF(E411 &gt; IFERROR(INDEX(جدول [2]الأقساط!$E:$E,MATCH(J411,جدول [2]الأقساط!$A:$A,0)), E411), "⚠️ تحصيل أكبر من قيمة القسط", "سليم"), "سليم")</f>
        <v>سليم</v>
      </c>
    </row>
    <row r="412" spans="3:12" x14ac:dyDescent="0.25">
      <c r="C412" t="str">
        <f>IF(I412="","",IFERROR(INDEX(المبيعات!$C:$C,MATCH(I412,المبيعات!$A:$A,0)),""))</f>
        <v/>
      </c>
      <c r="L412" t="str">
        <f>IF(AND(J412&lt;&gt;"", E412&lt;&gt;""), IF(E412 &gt; IFERROR(INDEX(جدول [2]الأقساط!$E:$E,MATCH(J412,جدول [2]الأقساط!$A:$A,0)), E412), "⚠️ تحصيل أكبر من قيمة القسط", "سليم"), "سليم")</f>
        <v>سليم</v>
      </c>
    </row>
    <row r="413" spans="3:12" x14ac:dyDescent="0.25">
      <c r="C413" t="str">
        <f>IF(I413="","",IFERROR(INDEX(المبيعات!$C:$C,MATCH(I413,المبيعات!$A:$A,0)),""))</f>
        <v/>
      </c>
      <c r="L413" t="str">
        <f>IF(AND(J413&lt;&gt;"", E413&lt;&gt;""), IF(E413 &gt; IFERROR(INDEX(جدول [2]الأقساط!$E:$E,MATCH(J413,جدول [2]الأقساط!$A:$A,0)), E413), "⚠️ تحصيل أكبر من قيمة القسط", "سليم"), "سليم")</f>
        <v>سليم</v>
      </c>
    </row>
    <row r="414" spans="3:12" x14ac:dyDescent="0.25">
      <c r="C414" t="str">
        <f>IF(I414="","",IFERROR(INDEX(المبيعات!$C:$C,MATCH(I414,المبيعات!$A:$A,0)),""))</f>
        <v/>
      </c>
      <c r="L414" t="str">
        <f>IF(AND(J414&lt;&gt;"", E414&lt;&gt;""), IF(E414 &gt; IFERROR(INDEX(جدول [2]الأقساط!$E:$E,MATCH(J414,جدول [2]الأقساط!$A:$A,0)), E414), "⚠️ تحصيل أكبر من قيمة القسط", "سليم"), "سليم")</f>
        <v>سليم</v>
      </c>
    </row>
    <row r="415" spans="3:12" x14ac:dyDescent="0.25">
      <c r="C415" t="str">
        <f>IF(I415="","",IFERROR(INDEX(المبيعات!$C:$C,MATCH(I415,المبيعات!$A:$A,0)),""))</f>
        <v/>
      </c>
      <c r="L415" t="str">
        <f>IF(AND(J415&lt;&gt;"", E415&lt;&gt;""), IF(E415 &gt; IFERROR(INDEX(جدول [2]الأقساط!$E:$E,MATCH(J415,جدول [2]الأقساط!$A:$A,0)), E415), "⚠️ تحصيل أكبر من قيمة القسط", "سليم"), "سليم")</f>
        <v>سليم</v>
      </c>
    </row>
    <row r="416" spans="3:12" x14ac:dyDescent="0.25">
      <c r="C416" t="str">
        <f>IF(I416="","",IFERROR(INDEX(المبيعات!$C:$C,MATCH(I416,المبيعات!$A:$A,0)),""))</f>
        <v/>
      </c>
      <c r="L416" t="str">
        <f>IF(AND(J416&lt;&gt;"", E416&lt;&gt;""), IF(E416 &gt; IFERROR(INDEX(جدول [2]الأقساط!$E:$E,MATCH(J416,جدول [2]الأقساط!$A:$A,0)), E416), "⚠️ تحصيل أكبر من قيمة القسط", "سليم"), "سليم")</f>
        <v>سليم</v>
      </c>
    </row>
    <row r="417" spans="3:12" x14ac:dyDescent="0.25">
      <c r="C417" t="str">
        <f>IF(I417="","",IFERROR(INDEX(المبيعات!$C:$C,MATCH(I417,المبيعات!$A:$A,0)),""))</f>
        <v/>
      </c>
      <c r="L417" t="str">
        <f>IF(AND(J417&lt;&gt;"", E417&lt;&gt;""), IF(E417 &gt; IFERROR(INDEX(جدول [2]الأقساط!$E:$E,MATCH(J417,جدول [2]الأقساط!$A:$A,0)), E417), "⚠️ تحصيل أكبر من قيمة القسط", "سليم"), "سليم")</f>
        <v>سليم</v>
      </c>
    </row>
    <row r="418" spans="3:12" x14ac:dyDescent="0.25">
      <c r="C418" t="str">
        <f>IF(I418="","",IFERROR(INDEX(المبيعات!$C:$C,MATCH(I418,المبيعات!$A:$A,0)),""))</f>
        <v/>
      </c>
      <c r="L418" t="str">
        <f>IF(AND(J418&lt;&gt;"", E418&lt;&gt;""), IF(E418 &gt; IFERROR(INDEX(جدول [2]الأقساط!$E:$E,MATCH(J418,جدول [2]الأقساط!$A:$A,0)), E418), "⚠️ تحصيل أكبر من قيمة القسط", "سليم"), "سليم")</f>
        <v>سليم</v>
      </c>
    </row>
    <row r="419" spans="3:12" x14ac:dyDescent="0.25">
      <c r="C419" t="str">
        <f>IF(I419="","",IFERROR(INDEX(المبيعات!$C:$C,MATCH(I419,المبيعات!$A:$A,0)),""))</f>
        <v/>
      </c>
      <c r="L419" t="str">
        <f>IF(AND(J419&lt;&gt;"", E419&lt;&gt;""), IF(E419 &gt; IFERROR(INDEX(جدول [2]الأقساط!$E:$E,MATCH(J419,جدول [2]الأقساط!$A:$A,0)), E419), "⚠️ تحصيل أكبر من قيمة القسط", "سليم"), "سليم")</f>
        <v>سليم</v>
      </c>
    </row>
    <row r="420" spans="3:12" x14ac:dyDescent="0.25">
      <c r="C420" t="str">
        <f>IF(I420="","",IFERROR(INDEX(المبيعات!$C:$C,MATCH(I420,المبيعات!$A:$A,0)),""))</f>
        <v/>
      </c>
      <c r="L420" t="str">
        <f>IF(AND(J420&lt;&gt;"", E420&lt;&gt;""), IF(E420 &gt; IFERROR(INDEX(جدول [2]الأقساط!$E:$E,MATCH(J420,جدول [2]الأقساط!$A:$A,0)), E420), "⚠️ تحصيل أكبر من قيمة القسط", "سليم"), "سليم")</f>
        <v>سليم</v>
      </c>
    </row>
    <row r="421" spans="3:12" x14ac:dyDescent="0.25">
      <c r="C421" t="str">
        <f>IF(I421="","",IFERROR(INDEX(المبيعات!$C:$C,MATCH(I421,المبيعات!$A:$A,0)),""))</f>
        <v/>
      </c>
      <c r="L421" t="str">
        <f>IF(AND(J421&lt;&gt;"", E421&lt;&gt;""), IF(E421 &gt; IFERROR(INDEX(جدول [2]الأقساط!$E:$E,MATCH(J421,جدول [2]الأقساط!$A:$A,0)), E421), "⚠️ تحصيل أكبر من قيمة القسط", "سليم"), "سليم")</f>
        <v>سليم</v>
      </c>
    </row>
    <row r="422" spans="3:12" x14ac:dyDescent="0.25">
      <c r="C422" t="str">
        <f>IF(I422="","",IFERROR(INDEX(المبيعات!$C:$C,MATCH(I422,المبيعات!$A:$A,0)),""))</f>
        <v/>
      </c>
      <c r="L422" t="str">
        <f>IF(AND(J422&lt;&gt;"", E422&lt;&gt;""), IF(E422 &gt; IFERROR(INDEX(جدول [2]الأقساط!$E:$E,MATCH(J422,جدول [2]الأقساط!$A:$A,0)), E422), "⚠️ تحصيل أكبر من قيمة القسط", "سليم"), "سليم")</f>
        <v>سليم</v>
      </c>
    </row>
    <row r="423" spans="3:12" x14ac:dyDescent="0.25">
      <c r="C423" t="str">
        <f>IF(I423="","",IFERROR(INDEX(المبيعات!$C:$C,MATCH(I423,المبيعات!$A:$A,0)),""))</f>
        <v/>
      </c>
      <c r="L423" t="str">
        <f>IF(AND(J423&lt;&gt;"", E423&lt;&gt;""), IF(E423 &gt; IFERROR(INDEX(جدول [2]الأقساط!$E:$E,MATCH(J423,جدول [2]الأقساط!$A:$A,0)), E423), "⚠️ تحصيل أكبر من قيمة القسط", "سليم"), "سليم")</f>
        <v>سليم</v>
      </c>
    </row>
    <row r="424" spans="3:12" x14ac:dyDescent="0.25">
      <c r="C424" t="str">
        <f>IF(I424="","",IFERROR(INDEX(المبيعات!$C:$C,MATCH(I424,المبيعات!$A:$A,0)),""))</f>
        <v/>
      </c>
      <c r="L424" t="str">
        <f>IF(AND(J424&lt;&gt;"", E424&lt;&gt;""), IF(E424 &gt; IFERROR(INDEX(جدول [2]الأقساط!$E:$E,MATCH(J424,جدول [2]الأقساط!$A:$A,0)), E424), "⚠️ تحصيل أكبر من قيمة القسط", "سليم"), "سليم")</f>
        <v>سليم</v>
      </c>
    </row>
    <row r="425" spans="3:12" x14ac:dyDescent="0.25">
      <c r="C425" t="str">
        <f>IF(I425="","",IFERROR(INDEX(المبيعات!$C:$C,MATCH(I425,المبيعات!$A:$A,0)),""))</f>
        <v/>
      </c>
      <c r="L425" t="str">
        <f>IF(AND(J425&lt;&gt;"", E425&lt;&gt;""), IF(E425 &gt; IFERROR(INDEX(جدول [2]الأقساط!$E:$E,MATCH(J425,جدول [2]الأقساط!$A:$A,0)), E425), "⚠️ تحصيل أكبر من قيمة القسط", "سليم"), "سليم")</f>
        <v>سليم</v>
      </c>
    </row>
    <row r="426" spans="3:12" x14ac:dyDescent="0.25">
      <c r="C426" t="str">
        <f>IF(I426="","",IFERROR(INDEX(المبيعات!$C:$C,MATCH(I426,المبيعات!$A:$A,0)),""))</f>
        <v/>
      </c>
      <c r="L426" t="str">
        <f>IF(AND(J426&lt;&gt;"", E426&lt;&gt;""), IF(E426 &gt; IFERROR(INDEX(جدول [2]الأقساط!$E:$E,MATCH(J426,جدول [2]الأقساط!$A:$A,0)), E426), "⚠️ تحصيل أكبر من قيمة القسط", "سليم"), "سليم")</f>
        <v>سليم</v>
      </c>
    </row>
    <row r="427" spans="3:12" x14ac:dyDescent="0.25">
      <c r="C427" t="str">
        <f>IF(I427="","",IFERROR(INDEX(المبيعات!$C:$C,MATCH(I427,المبيعات!$A:$A,0)),""))</f>
        <v/>
      </c>
      <c r="L427" t="str">
        <f>IF(AND(J427&lt;&gt;"", E427&lt;&gt;""), IF(E427 &gt; IFERROR(INDEX(جدول [2]الأقساط!$E:$E,MATCH(J427,جدول [2]الأقساط!$A:$A,0)), E427), "⚠️ تحصيل أكبر من قيمة القسط", "سليم"), "سليم")</f>
        <v>سليم</v>
      </c>
    </row>
    <row r="428" spans="3:12" x14ac:dyDescent="0.25">
      <c r="C428" t="str">
        <f>IF(I428="","",IFERROR(INDEX(المبيعات!$C:$C,MATCH(I428,المبيعات!$A:$A,0)),""))</f>
        <v/>
      </c>
      <c r="L428" t="str">
        <f>IF(AND(J428&lt;&gt;"", E428&lt;&gt;""), IF(E428 &gt; IFERROR(INDEX(جدول [2]الأقساط!$E:$E,MATCH(J428,جدول [2]الأقساط!$A:$A,0)), E428), "⚠️ تحصيل أكبر من قيمة القسط", "سليم"), "سليم")</f>
        <v>سليم</v>
      </c>
    </row>
    <row r="429" spans="3:12" x14ac:dyDescent="0.25">
      <c r="C429" t="str">
        <f>IF(I429="","",IFERROR(INDEX(المبيعات!$C:$C,MATCH(I429,المبيعات!$A:$A,0)),""))</f>
        <v/>
      </c>
      <c r="L429" t="str">
        <f>IF(AND(J429&lt;&gt;"", E429&lt;&gt;""), IF(E429 &gt; IFERROR(INDEX(جدول [2]الأقساط!$E:$E,MATCH(J429,جدول [2]الأقساط!$A:$A,0)), E429), "⚠️ تحصيل أكبر من قيمة القسط", "سليم"), "سليم")</f>
        <v>سليم</v>
      </c>
    </row>
    <row r="430" spans="3:12" x14ac:dyDescent="0.25">
      <c r="C430" t="str">
        <f>IF(I430="","",IFERROR(INDEX(المبيعات!$C:$C,MATCH(I430,المبيعات!$A:$A,0)),""))</f>
        <v/>
      </c>
      <c r="L430" t="str">
        <f>IF(AND(J430&lt;&gt;"", E430&lt;&gt;""), IF(E430 &gt; IFERROR(INDEX(جدول [2]الأقساط!$E:$E,MATCH(J430,جدول [2]الأقساط!$A:$A,0)), E430), "⚠️ تحصيل أكبر من قيمة القسط", "سليم"), "سليم")</f>
        <v>سليم</v>
      </c>
    </row>
    <row r="431" spans="3:12" x14ac:dyDescent="0.25">
      <c r="C431" t="str">
        <f>IF(I431="","",IFERROR(INDEX(المبيعات!$C:$C,MATCH(I431,المبيعات!$A:$A,0)),""))</f>
        <v/>
      </c>
      <c r="L431" t="str">
        <f>IF(AND(J431&lt;&gt;"", E431&lt;&gt;""), IF(E431 &gt; IFERROR(INDEX(جدول [2]الأقساط!$E:$E,MATCH(J431,جدول [2]الأقساط!$A:$A,0)), E431), "⚠️ تحصيل أكبر من قيمة القسط", "سليم"), "سليم")</f>
        <v>سليم</v>
      </c>
    </row>
    <row r="432" spans="3:12" x14ac:dyDescent="0.25">
      <c r="C432" t="str">
        <f>IF(I432="","",IFERROR(INDEX(المبيعات!$C:$C,MATCH(I432,المبيعات!$A:$A,0)),""))</f>
        <v/>
      </c>
      <c r="L432" t="str">
        <f>IF(AND(J432&lt;&gt;"", E432&lt;&gt;""), IF(E432 &gt; IFERROR(INDEX(جدول [2]الأقساط!$E:$E,MATCH(J432,جدول [2]الأقساط!$A:$A,0)), E432), "⚠️ تحصيل أكبر من قيمة القسط", "سليم"), "سليم")</f>
        <v>سليم</v>
      </c>
    </row>
    <row r="433" spans="3:12" x14ac:dyDescent="0.25">
      <c r="C433" t="str">
        <f>IF(I433="","",IFERROR(INDEX(المبيعات!$C:$C,MATCH(I433,المبيعات!$A:$A,0)),""))</f>
        <v/>
      </c>
      <c r="L433" t="str">
        <f>IF(AND(J433&lt;&gt;"", E433&lt;&gt;""), IF(E433 &gt; IFERROR(INDEX(جدول [2]الأقساط!$E:$E,MATCH(J433,جدول [2]الأقساط!$A:$A,0)), E433), "⚠️ تحصيل أكبر من قيمة القسط", "سليم"), "سليم")</f>
        <v>سليم</v>
      </c>
    </row>
    <row r="434" spans="3:12" x14ac:dyDescent="0.25">
      <c r="C434" t="str">
        <f>IF(I434="","",IFERROR(INDEX(المبيعات!$C:$C,MATCH(I434,المبيعات!$A:$A,0)),""))</f>
        <v/>
      </c>
      <c r="L434" t="str">
        <f>IF(AND(J434&lt;&gt;"", E434&lt;&gt;""), IF(E434 &gt; IFERROR(INDEX(جدول [2]الأقساط!$E:$E,MATCH(J434,جدول [2]الأقساط!$A:$A,0)), E434), "⚠️ تحصيل أكبر من قيمة القسط", "سليم"), "سليم")</f>
        <v>سليم</v>
      </c>
    </row>
    <row r="435" spans="3:12" x14ac:dyDescent="0.25">
      <c r="C435" t="str">
        <f>IF(I435="","",IFERROR(INDEX(المبيعات!$C:$C,MATCH(I435,المبيعات!$A:$A,0)),""))</f>
        <v/>
      </c>
      <c r="L435" t="str">
        <f>IF(AND(J435&lt;&gt;"", E435&lt;&gt;""), IF(E435 &gt; IFERROR(INDEX(جدول [2]الأقساط!$E:$E,MATCH(J435,جدول [2]الأقساط!$A:$A,0)), E435), "⚠️ تحصيل أكبر من قيمة القسط", "سليم"), "سليم")</f>
        <v>سليم</v>
      </c>
    </row>
    <row r="436" spans="3:12" x14ac:dyDescent="0.25">
      <c r="C436" t="str">
        <f>IF(I436="","",IFERROR(INDEX(المبيعات!$C:$C,MATCH(I436,المبيعات!$A:$A,0)),""))</f>
        <v/>
      </c>
      <c r="L436" t="str">
        <f>IF(AND(J436&lt;&gt;"", E436&lt;&gt;""), IF(E436 &gt; IFERROR(INDEX(جدول [2]الأقساط!$E:$E,MATCH(J436,جدول [2]الأقساط!$A:$A,0)), E436), "⚠️ تحصيل أكبر من قيمة القسط", "سليم"), "سليم")</f>
        <v>سليم</v>
      </c>
    </row>
    <row r="437" spans="3:12" x14ac:dyDescent="0.25">
      <c r="C437" t="str">
        <f>IF(I437="","",IFERROR(INDEX(المبيعات!$C:$C,MATCH(I437,المبيعات!$A:$A,0)),""))</f>
        <v/>
      </c>
      <c r="L437" t="str">
        <f>IF(AND(J437&lt;&gt;"", E437&lt;&gt;""), IF(E437 &gt; IFERROR(INDEX(جدول [2]الأقساط!$E:$E,MATCH(J437,جدول [2]الأقساط!$A:$A,0)), E437), "⚠️ تحصيل أكبر من قيمة القسط", "سليم"), "سليم")</f>
        <v>سليم</v>
      </c>
    </row>
    <row r="438" spans="3:12" x14ac:dyDescent="0.25">
      <c r="C438" t="str">
        <f>IF(I438="","",IFERROR(INDEX(المبيعات!$C:$C,MATCH(I438,المبيعات!$A:$A,0)),""))</f>
        <v/>
      </c>
      <c r="L438" t="str">
        <f>IF(AND(J438&lt;&gt;"", E438&lt;&gt;""), IF(E438 &gt; IFERROR(INDEX(جدول [2]الأقساط!$E:$E,MATCH(J438,جدول [2]الأقساط!$A:$A,0)), E438), "⚠️ تحصيل أكبر من قيمة القسط", "سليم"), "سليم")</f>
        <v>سليم</v>
      </c>
    </row>
    <row r="439" spans="3:12" x14ac:dyDescent="0.25">
      <c r="C439" t="str">
        <f>IF(I439="","",IFERROR(INDEX(المبيعات!$C:$C,MATCH(I439,المبيعات!$A:$A,0)),""))</f>
        <v/>
      </c>
      <c r="L439" t="str">
        <f>IF(AND(J439&lt;&gt;"", E439&lt;&gt;""), IF(E439 &gt; IFERROR(INDEX(جدول [2]الأقساط!$E:$E,MATCH(J439,جدول [2]الأقساط!$A:$A,0)), E439), "⚠️ تحصيل أكبر من قيمة القسط", "سليم"), "سليم")</f>
        <v>سليم</v>
      </c>
    </row>
    <row r="440" spans="3:12" x14ac:dyDescent="0.25">
      <c r="C440" t="str">
        <f>IF(I440="","",IFERROR(INDEX(المبيعات!$C:$C,MATCH(I440,المبيعات!$A:$A,0)),""))</f>
        <v/>
      </c>
      <c r="L440" t="str">
        <f>IF(AND(J440&lt;&gt;"", E440&lt;&gt;""), IF(E440 &gt; IFERROR(INDEX(جدول [2]الأقساط!$E:$E,MATCH(J440,جدول [2]الأقساط!$A:$A,0)), E440), "⚠️ تحصيل أكبر من قيمة القسط", "سليم"), "سليم")</f>
        <v>سليم</v>
      </c>
    </row>
    <row r="441" spans="3:12" x14ac:dyDescent="0.25">
      <c r="C441" t="str">
        <f>IF(I441="","",IFERROR(INDEX(المبيعات!$C:$C,MATCH(I441,المبيعات!$A:$A,0)),""))</f>
        <v/>
      </c>
      <c r="L441" t="str">
        <f>IF(AND(J441&lt;&gt;"", E441&lt;&gt;""), IF(E441 &gt; IFERROR(INDEX(جدول [2]الأقساط!$E:$E,MATCH(J441,جدول [2]الأقساط!$A:$A,0)), E441), "⚠️ تحصيل أكبر من قيمة القسط", "سليم"), "سليم")</f>
        <v>سليم</v>
      </c>
    </row>
    <row r="442" spans="3:12" x14ac:dyDescent="0.25">
      <c r="C442" t="str">
        <f>IF(I442="","",IFERROR(INDEX(المبيعات!$C:$C,MATCH(I442,المبيعات!$A:$A,0)),""))</f>
        <v/>
      </c>
      <c r="L442" t="str">
        <f>IF(AND(J442&lt;&gt;"", E442&lt;&gt;""), IF(E442 &gt; IFERROR(INDEX(جدول [2]الأقساط!$E:$E,MATCH(J442,جدول [2]الأقساط!$A:$A,0)), E442), "⚠️ تحصيل أكبر من قيمة القسط", "سليم"), "سليم")</f>
        <v>سليم</v>
      </c>
    </row>
    <row r="443" spans="3:12" x14ac:dyDescent="0.25">
      <c r="C443" t="str">
        <f>IF(I443="","",IFERROR(INDEX(المبيعات!$C:$C,MATCH(I443,المبيعات!$A:$A,0)),""))</f>
        <v/>
      </c>
      <c r="L443" t="str">
        <f>IF(AND(J443&lt;&gt;"", E443&lt;&gt;""), IF(E443 &gt; IFERROR(INDEX(جدول [2]الأقساط!$E:$E,MATCH(J443,جدول [2]الأقساط!$A:$A,0)), E443), "⚠️ تحصيل أكبر من قيمة القسط", "سليم"), "سليم")</f>
        <v>سليم</v>
      </c>
    </row>
    <row r="444" spans="3:12" x14ac:dyDescent="0.25">
      <c r="C444" t="str">
        <f>IF(I444="","",IFERROR(INDEX(المبيعات!$C:$C,MATCH(I444,المبيعات!$A:$A,0)),""))</f>
        <v/>
      </c>
      <c r="L444" t="str">
        <f>IF(AND(J444&lt;&gt;"", E444&lt;&gt;""), IF(E444 &gt; IFERROR(INDEX(جدول [2]الأقساط!$E:$E,MATCH(J444,جدول [2]الأقساط!$A:$A,0)), E444), "⚠️ تحصيل أكبر من قيمة القسط", "سليم"), "سليم")</f>
        <v>سليم</v>
      </c>
    </row>
    <row r="445" spans="3:12" x14ac:dyDescent="0.25">
      <c r="C445" t="str">
        <f>IF(I445="","",IFERROR(INDEX(المبيعات!$C:$C,MATCH(I445,المبيعات!$A:$A,0)),""))</f>
        <v/>
      </c>
      <c r="L445" t="str">
        <f>IF(AND(J445&lt;&gt;"", E445&lt;&gt;""), IF(E445 &gt; IFERROR(INDEX(جدول [2]الأقساط!$E:$E,MATCH(J445,جدول [2]الأقساط!$A:$A,0)), E445), "⚠️ تحصيل أكبر من قيمة القسط", "سليم"), "سليم")</f>
        <v>سليم</v>
      </c>
    </row>
    <row r="446" spans="3:12" x14ac:dyDescent="0.25">
      <c r="C446" t="str">
        <f>IF(I446="","",IFERROR(INDEX(المبيعات!$C:$C,MATCH(I446,المبيعات!$A:$A,0)),""))</f>
        <v/>
      </c>
      <c r="L446" t="str">
        <f>IF(AND(J446&lt;&gt;"", E446&lt;&gt;""), IF(E446 &gt; IFERROR(INDEX(جدول [2]الأقساط!$E:$E,MATCH(J446,جدول [2]الأقساط!$A:$A,0)), E446), "⚠️ تحصيل أكبر من قيمة القسط", "سليم"), "سليم")</f>
        <v>سليم</v>
      </c>
    </row>
    <row r="447" spans="3:12" x14ac:dyDescent="0.25">
      <c r="C447" t="str">
        <f>IF(I447="","",IFERROR(INDEX(المبيعات!$C:$C,MATCH(I447,المبيعات!$A:$A,0)),""))</f>
        <v/>
      </c>
      <c r="L447" t="str">
        <f>IF(AND(J447&lt;&gt;"", E447&lt;&gt;""), IF(E447 &gt; IFERROR(INDEX(جدول [2]الأقساط!$E:$E,MATCH(J447,جدول [2]الأقساط!$A:$A,0)), E447), "⚠️ تحصيل أكبر من قيمة القسط", "سليم"), "سليم")</f>
        <v>سليم</v>
      </c>
    </row>
    <row r="448" spans="3:12" x14ac:dyDescent="0.25">
      <c r="C448" t="str">
        <f>IF(I448="","",IFERROR(INDEX(المبيعات!$C:$C,MATCH(I448,المبيعات!$A:$A,0)),""))</f>
        <v/>
      </c>
      <c r="L448" t="str">
        <f>IF(AND(J448&lt;&gt;"", E448&lt;&gt;""), IF(E448 &gt; IFERROR(INDEX(جدول [2]الأقساط!$E:$E,MATCH(J448,جدول [2]الأقساط!$A:$A,0)), E448), "⚠️ تحصيل أكبر من قيمة القسط", "سليم"), "سليم")</f>
        <v>سليم</v>
      </c>
    </row>
    <row r="449" spans="3:12" x14ac:dyDescent="0.25">
      <c r="C449" t="str">
        <f>IF(I449="","",IFERROR(INDEX(المبيعات!$C:$C,MATCH(I449,المبيعات!$A:$A,0)),""))</f>
        <v/>
      </c>
      <c r="L449" t="str">
        <f>IF(AND(J449&lt;&gt;"", E449&lt;&gt;""), IF(E449 &gt; IFERROR(INDEX(جدول [2]الأقساط!$E:$E,MATCH(J449,جدول [2]الأقساط!$A:$A,0)), E449), "⚠️ تحصيل أكبر من قيمة القسط", "سليم"), "سليم")</f>
        <v>سليم</v>
      </c>
    </row>
    <row r="450" spans="3:12" x14ac:dyDescent="0.25">
      <c r="C450" t="str">
        <f>IF(I450="","",IFERROR(INDEX(المبيعات!$C:$C,MATCH(I450,المبيعات!$A:$A,0)),""))</f>
        <v/>
      </c>
      <c r="L450" t="str">
        <f>IF(AND(J450&lt;&gt;"", E450&lt;&gt;""), IF(E450 &gt; IFERROR(INDEX(جدول [2]الأقساط!$E:$E,MATCH(J450,جدول [2]الأقساط!$A:$A,0)), E450), "⚠️ تحصيل أكبر من قيمة القسط", "سليم"), "سليم")</f>
        <v>سليم</v>
      </c>
    </row>
    <row r="451" spans="3:12" x14ac:dyDescent="0.25">
      <c r="C451" t="str">
        <f>IF(I451="","",IFERROR(INDEX(المبيعات!$C:$C,MATCH(I451,المبيعات!$A:$A,0)),""))</f>
        <v/>
      </c>
      <c r="L451" t="str">
        <f>IF(AND(J451&lt;&gt;"", E451&lt;&gt;""), IF(E451 &gt; IFERROR(INDEX(جدول [2]الأقساط!$E:$E,MATCH(J451,جدول [2]الأقساط!$A:$A,0)), E451), "⚠️ تحصيل أكبر من قيمة القسط", "سليم"), "سليم")</f>
        <v>سليم</v>
      </c>
    </row>
    <row r="452" spans="3:12" x14ac:dyDescent="0.25">
      <c r="C452" t="str">
        <f>IF(I452="","",IFERROR(INDEX(المبيعات!$C:$C,MATCH(I452,المبيعات!$A:$A,0)),""))</f>
        <v/>
      </c>
      <c r="L452" t="str">
        <f>IF(AND(J452&lt;&gt;"", E452&lt;&gt;""), IF(E452 &gt; IFERROR(INDEX(جدول [2]الأقساط!$E:$E,MATCH(J452,جدول [2]الأقساط!$A:$A,0)), E452), "⚠️ تحصيل أكبر من قيمة القسط", "سليم"), "سليم")</f>
        <v>سليم</v>
      </c>
    </row>
    <row r="453" spans="3:12" x14ac:dyDescent="0.25">
      <c r="C453" t="str">
        <f>IF(I453="","",IFERROR(INDEX(المبيعات!$C:$C,MATCH(I453,المبيعات!$A:$A,0)),""))</f>
        <v/>
      </c>
      <c r="L453" t="str">
        <f>IF(AND(J453&lt;&gt;"", E453&lt;&gt;""), IF(E453 &gt; IFERROR(INDEX(جدول [2]الأقساط!$E:$E,MATCH(J453,جدول [2]الأقساط!$A:$A,0)), E453), "⚠️ تحصيل أكبر من قيمة القسط", "سليم"), "سليم")</f>
        <v>سليم</v>
      </c>
    </row>
    <row r="454" spans="3:12" x14ac:dyDescent="0.25">
      <c r="C454" t="str">
        <f>IF(I454="","",IFERROR(INDEX(المبيعات!$C:$C,MATCH(I454,المبيعات!$A:$A,0)),""))</f>
        <v/>
      </c>
      <c r="L454" t="str">
        <f>IF(AND(J454&lt;&gt;"", E454&lt;&gt;""), IF(E454 &gt; IFERROR(INDEX(جدول [2]الأقساط!$E:$E,MATCH(J454,جدول [2]الأقساط!$A:$A,0)), E454), "⚠️ تحصيل أكبر من قيمة القسط", "سليم"), "سليم")</f>
        <v>سليم</v>
      </c>
    </row>
    <row r="455" spans="3:12" x14ac:dyDescent="0.25">
      <c r="C455" t="str">
        <f>IF(I455="","",IFERROR(INDEX(المبيعات!$C:$C,MATCH(I455,المبيعات!$A:$A,0)),""))</f>
        <v/>
      </c>
      <c r="L455" t="str">
        <f>IF(AND(J455&lt;&gt;"", E455&lt;&gt;""), IF(E455 &gt; IFERROR(INDEX(جدول [2]الأقساط!$E:$E,MATCH(J455,جدول [2]الأقساط!$A:$A,0)), E455), "⚠️ تحصيل أكبر من قيمة القسط", "سليم"), "سليم")</f>
        <v>سليم</v>
      </c>
    </row>
    <row r="456" spans="3:12" x14ac:dyDescent="0.25">
      <c r="C456" t="str">
        <f>IF(I456="","",IFERROR(INDEX(المبيعات!$C:$C,MATCH(I456,المبيعات!$A:$A,0)),""))</f>
        <v/>
      </c>
      <c r="L456" t="str">
        <f>IF(AND(J456&lt;&gt;"", E456&lt;&gt;""), IF(E456 &gt; IFERROR(INDEX(جدول [2]الأقساط!$E:$E,MATCH(J456,جدول [2]الأقساط!$A:$A,0)), E456), "⚠️ تحصيل أكبر من قيمة القسط", "سليم"), "سليم")</f>
        <v>سليم</v>
      </c>
    </row>
    <row r="457" spans="3:12" x14ac:dyDescent="0.25">
      <c r="C457" t="str">
        <f>IF(I457="","",IFERROR(INDEX(المبيعات!$C:$C,MATCH(I457,المبيعات!$A:$A,0)),""))</f>
        <v/>
      </c>
      <c r="L457" t="str">
        <f>IF(AND(J457&lt;&gt;"", E457&lt;&gt;""), IF(E457 &gt; IFERROR(INDEX(جدول [2]الأقساط!$E:$E,MATCH(J457,جدول [2]الأقساط!$A:$A,0)), E457), "⚠️ تحصيل أكبر من قيمة القسط", "سليم"), "سليم")</f>
        <v>سليم</v>
      </c>
    </row>
    <row r="458" spans="3:12" x14ac:dyDescent="0.25">
      <c r="C458" t="str">
        <f>IF(I458="","",IFERROR(INDEX(المبيعات!$C:$C,MATCH(I458,المبيعات!$A:$A,0)),""))</f>
        <v/>
      </c>
      <c r="L458" t="str">
        <f>IF(AND(J458&lt;&gt;"", E458&lt;&gt;""), IF(E458 &gt; IFERROR(INDEX(جدول [2]الأقساط!$E:$E,MATCH(J458,جدول [2]الأقساط!$A:$A,0)), E458), "⚠️ تحصيل أكبر من قيمة القسط", "سليم"), "سليم")</f>
        <v>سليم</v>
      </c>
    </row>
    <row r="459" spans="3:12" x14ac:dyDescent="0.25">
      <c r="C459" t="str">
        <f>IF(I459="","",IFERROR(INDEX(المبيعات!$C:$C,MATCH(I459,المبيعات!$A:$A,0)),""))</f>
        <v/>
      </c>
      <c r="L459" t="str">
        <f>IF(AND(J459&lt;&gt;"", E459&lt;&gt;""), IF(E459 &gt; IFERROR(INDEX(جدول [2]الأقساط!$E:$E,MATCH(J459,جدول [2]الأقساط!$A:$A,0)), E459), "⚠️ تحصيل أكبر من قيمة القسط", "سليم"), "سليم")</f>
        <v>سليم</v>
      </c>
    </row>
    <row r="460" spans="3:12" x14ac:dyDescent="0.25">
      <c r="C460" t="str">
        <f>IF(I460="","",IFERROR(INDEX(المبيعات!$C:$C,MATCH(I460,المبيعات!$A:$A,0)),""))</f>
        <v/>
      </c>
      <c r="L460" t="str">
        <f>IF(AND(J460&lt;&gt;"", E460&lt;&gt;""), IF(E460 &gt; IFERROR(INDEX(جدول [2]الأقساط!$E:$E,MATCH(J460,جدول [2]الأقساط!$A:$A,0)), E460), "⚠️ تحصيل أكبر من قيمة القسط", "سليم"), "سليم")</f>
        <v>سليم</v>
      </c>
    </row>
    <row r="461" spans="3:12" x14ac:dyDescent="0.25">
      <c r="C461" t="str">
        <f>IF(I461="","",IFERROR(INDEX(المبيعات!$C:$C,MATCH(I461,المبيعات!$A:$A,0)),""))</f>
        <v/>
      </c>
      <c r="L461" t="str">
        <f>IF(AND(J461&lt;&gt;"", E461&lt;&gt;""), IF(E461 &gt; IFERROR(INDEX(جدول [2]الأقساط!$E:$E,MATCH(J461,جدول [2]الأقساط!$A:$A,0)), E461), "⚠️ تحصيل أكبر من قيمة القسط", "سليم"), "سليم")</f>
        <v>سليم</v>
      </c>
    </row>
    <row r="462" spans="3:12" x14ac:dyDescent="0.25">
      <c r="C462" t="str">
        <f>IF(I462="","",IFERROR(INDEX(المبيعات!$C:$C,MATCH(I462,المبيعات!$A:$A,0)),""))</f>
        <v/>
      </c>
      <c r="L462" t="str">
        <f>IF(AND(J462&lt;&gt;"", E462&lt;&gt;""), IF(E462 &gt; IFERROR(INDEX(جدول [2]الأقساط!$E:$E,MATCH(J462,جدول [2]الأقساط!$A:$A,0)), E462), "⚠️ تحصيل أكبر من قيمة القسط", "سليم"), "سليم")</f>
        <v>سليم</v>
      </c>
    </row>
    <row r="463" spans="3:12" x14ac:dyDescent="0.25">
      <c r="C463" t="str">
        <f>IF(I463="","",IFERROR(INDEX(المبيعات!$C:$C,MATCH(I463,المبيعات!$A:$A,0)),""))</f>
        <v/>
      </c>
      <c r="L463" t="str">
        <f>IF(AND(J463&lt;&gt;"", E463&lt;&gt;""), IF(E463 &gt; IFERROR(INDEX(جدول [2]الأقساط!$E:$E,MATCH(J463,جدول [2]الأقساط!$A:$A,0)), E463), "⚠️ تحصيل أكبر من قيمة القسط", "سليم"), "سليم")</f>
        <v>سليم</v>
      </c>
    </row>
    <row r="464" spans="3:12" x14ac:dyDescent="0.25">
      <c r="C464" t="str">
        <f>IF(I464="","",IFERROR(INDEX(المبيعات!$C:$C,MATCH(I464,المبيعات!$A:$A,0)),""))</f>
        <v/>
      </c>
      <c r="L464" t="str">
        <f>IF(AND(J464&lt;&gt;"", E464&lt;&gt;""), IF(E464 &gt; IFERROR(INDEX(جدول [2]الأقساط!$E:$E,MATCH(J464,جدول [2]الأقساط!$A:$A,0)), E464), "⚠️ تحصيل أكبر من قيمة القسط", "سليم"), "سليم")</f>
        <v>سليم</v>
      </c>
    </row>
    <row r="465" spans="3:12" x14ac:dyDescent="0.25">
      <c r="C465" t="str">
        <f>IF(I465="","",IFERROR(INDEX(المبيعات!$C:$C,MATCH(I465,المبيعات!$A:$A,0)),""))</f>
        <v/>
      </c>
      <c r="L465" t="str">
        <f>IF(AND(J465&lt;&gt;"", E465&lt;&gt;""), IF(E465 &gt; IFERROR(INDEX(جدول [2]الأقساط!$E:$E,MATCH(J465,جدول [2]الأقساط!$A:$A,0)), E465), "⚠️ تحصيل أكبر من قيمة القسط", "سليم"), "سليم")</f>
        <v>سليم</v>
      </c>
    </row>
    <row r="466" spans="3:12" x14ac:dyDescent="0.25">
      <c r="C466" t="str">
        <f>IF(I466="","",IFERROR(INDEX(المبيعات!$C:$C,MATCH(I466,المبيعات!$A:$A,0)),""))</f>
        <v/>
      </c>
      <c r="L466" t="str">
        <f>IF(AND(J466&lt;&gt;"", E466&lt;&gt;""), IF(E466 &gt; IFERROR(INDEX(جدول [2]الأقساط!$E:$E,MATCH(J466,جدول [2]الأقساط!$A:$A,0)), E466), "⚠️ تحصيل أكبر من قيمة القسط", "سليم"), "سليم")</f>
        <v>سليم</v>
      </c>
    </row>
    <row r="467" spans="3:12" x14ac:dyDescent="0.25">
      <c r="C467" t="str">
        <f>IF(I467="","",IFERROR(INDEX(المبيعات!$C:$C,MATCH(I467,المبيعات!$A:$A,0)),""))</f>
        <v/>
      </c>
      <c r="L467" t="str">
        <f>IF(AND(J467&lt;&gt;"", E467&lt;&gt;""), IF(E467 &gt; IFERROR(INDEX(جدول [2]الأقساط!$E:$E,MATCH(J467,جدول [2]الأقساط!$A:$A,0)), E467), "⚠️ تحصيل أكبر من قيمة القسط", "سليم"), "سليم")</f>
        <v>سليم</v>
      </c>
    </row>
    <row r="468" spans="3:12" x14ac:dyDescent="0.25">
      <c r="C468" t="str">
        <f>IF(I468="","",IFERROR(INDEX(المبيعات!$C:$C,MATCH(I468,المبيعات!$A:$A,0)),""))</f>
        <v/>
      </c>
      <c r="L468" t="str">
        <f>IF(AND(J468&lt;&gt;"", E468&lt;&gt;""), IF(E468 &gt; IFERROR(INDEX(جدول [2]الأقساط!$E:$E,MATCH(J468,جدول [2]الأقساط!$A:$A,0)), E468), "⚠️ تحصيل أكبر من قيمة القسط", "سليم"), "سليم")</f>
        <v>سليم</v>
      </c>
    </row>
    <row r="469" spans="3:12" x14ac:dyDescent="0.25">
      <c r="C469" t="str">
        <f>IF(I469="","",IFERROR(INDEX(المبيعات!$C:$C,MATCH(I469,المبيعات!$A:$A,0)),""))</f>
        <v/>
      </c>
      <c r="L469" t="str">
        <f>IF(AND(J469&lt;&gt;"", E469&lt;&gt;""), IF(E469 &gt; IFERROR(INDEX(جدول [2]الأقساط!$E:$E,MATCH(J469,جدول [2]الأقساط!$A:$A,0)), E469), "⚠️ تحصيل أكبر من قيمة القسط", "سليم"), "سليم")</f>
        <v>سليم</v>
      </c>
    </row>
    <row r="470" spans="3:12" x14ac:dyDescent="0.25">
      <c r="C470" t="str">
        <f>IF(I470="","",IFERROR(INDEX(المبيعات!$C:$C,MATCH(I470,المبيعات!$A:$A,0)),""))</f>
        <v/>
      </c>
      <c r="L470" t="str">
        <f>IF(AND(J470&lt;&gt;"", E470&lt;&gt;""), IF(E470 &gt; IFERROR(INDEX(جدول [2]الأقساط!$E:$E,MATCH(J470,جدول [2]الأقساط!$A:$A,0)), E470), "⚠️ تحصيل أكبر من قيمة القسط", "سليم"), "سليم")</f>
        <v>سليم</v>
      </c>
    </row>
    <row r="471" spans="3:12" x14ac:dyDescent="0.25">
      <c r="C471" t="str">
        <f>IF(I471="","",IFERROR(INDEX(المبيعات!$C:$C,MATCH(I471,المبيعات!$A:$A,0)),""))</f>
        <v/>
      </c>
      <c r="L471" t="str">
        <f>IF(AND(J471&lt;&gt;"", E471&lt;&gt;""), IF(E471 &gt; IFERROR(INDEX(جدول [2]الأقساط!$E:$E,MATCH(J471,جدول [2]الأقساط!$A:$A,0)), E471), "⚠️ تحصيل أكبر من قيمة القسط", "سليم"), "سليم")</f>
        <v>سليم</v>
      </c>
    </row>
    <row r="472" spans="3:12" x14ac:dyDescent="0.25">
      <c r="C472" t="str">
        <f>IF(I472="","",IFERROR(INDEX(المبيعات!$C:$C,MATCH(I472,المبيعات!$A:$A,0)),""))</f>
        <v/>
      </c>
      <c r="L472" t="str">
        <f>IF(AND(J472&lt;&gt;"", E472&lt;&gt;""), IF(E472 &gt; IFERROR(INDEX(جدول [2]الأقساط!$E:$E,MATCH(J472,جدول [2]الأقساط!$A:$A,0)), E472), "⚠️ تحصيل أكبر من قيمة القسط", "سليم"), "سليم")</f>
        <v>سليم</v>
      </c>
    </row>
    <row r="473" spans="3:12" x14ac:dyDescent="0.25">
      <c r="C473" t="str">
        <f>IF(I473="","",IFERROR(INDEX(المبيعات!$C:$C,MATCH(I473,المبيعات!$A:$A,0)),""))</f>
        <v/>
      </c>
      <c r="L473" t="str">
        <f>IF(AND(J473&lt;&gt;"", E473&lt;&gt;""), IF(E473 &gt; IFERROR(INDEX(جدول [2]الأقساط!$E:$E,MATCH(J473,جدول [2]الأقساط!$A:$A,0)), E473), "⚠️ تحصيل أكبر من قيمة القسط", "سليم"), "سليم")</f>
        <v>سليم</v>
      </c>
    </row>
    <row r="474" spans="3:12" x14ac:dyDescent="0.25">
      <c r="C474" t="str">
        <f>IF(I474="","",IFERROR(INDEX(المبيعات!$C:$C,MATCH(I474,المبيعات!$A:$A,0)),""))</f>
        <v/>
      </c>
      <c r="L474" t="str">
        <f>IF(AND(J474&lt;&gt;"", E474&lt;&gt;""), IF(E474 &gt; IFERROR(INDEX(جدول [2]الأقساط!$E:$E,MATCH(J474,جدول [2]الأقساط!$A:$A,0)), E474), "⚠️ تحصيل أكبر من قيمة القسط", "سليم"), "سليم")</f>
        <v>سليم</v>
      </c>
    </row>
    <row r="475" spans="3:12" x14ac:dyDescent="0.25">
      <c r="C475" t="str">
        <f>IF(I475="","",IFERROR(INDEX(المبيعات!$C:$C,MATCH(I475,المبيعات!$A:$A,0)),""))</f>
        <v/>
      </c>
      <c r="L475" t="str">
        <f>IF(AND(J475&lt;&gt;"", E475&lt;&gt;""), IF(E475 &gt; IFERROR(INDEX(جدول [2]الأقساط!$E:$E,MATCH(J475,جدول [2]الأقساط!$A:$A,0)), E475), "⚠️ تحصيل أكبر من قيمة القسط", "سليم"), "سليم")</f>
        <v>سليم</v>
      </c>
    </row>
    <row r="476" spans="3:12" x14ac:dyDescent="0.25">
      <c r="C476" t="str">
        <f>IF(I476="","",IFERROR(INDEX(المبيعات!$C:$C,MATCH(I476,المبيعات!$A:$A,0)),""))</f>
        <v/>
      </c>
      <c r="L476" t="str">
        <f>IF(AND(J476&lt;&gt;"", E476&lt;&gt;""), IF(E476 &gt; IFERROR(INDEX(جدول [2]الأقساط!$E:$E,MATCH(J476,جدول [2]الأقساط!$A:$A,0)), E476), "⚠️ تحصيل أكبر من قيمة القسط", "سليم"), "سليم")</f>
        <v>سليم</v>
      </c>
    </row>
    <row r="477" spans="3:12" x14ac:dyDescent="0.25">
      <c r="C477" t="str">
        <f>IF(I477="","",IFERROR(INDEX(المبيعات!$C:$C,MATCH(I477,المبيعات!$A:$A,0)),""))</f>
        <v/>
      </c>
      <c r="L477" t="str">
        <f>IF(AND(J477&lt;&gt;"", E477&lt;&gt;""), IF(E477 &gt; IFERROR(INDEX(جدول [2]الأقساط!$E:$E,MATCH(J477,جدول [2]الأقساط!$A:$A,0)), E477), "⚠️ تحصيل أكبر من قيمة القسط", "سليم"), "سليم")</f>
        <v>سليم</v>
      </c>
    </row>
    <row r="478" spans="3:12" x14ac:dyDescent="0.25">
      <c r="C478" t="str">
        <f>IF(I478="","",IFERROR(INDEX(المبيعات!$C:$C,MATCH(I478,المبيعات!$A:$A,0)),""))</f>
        <v/>
      </c>
      <c r="L478" t="str">
        <f>IF(AND(J478&lt;&gt;"", E478&lt;&gt;""), IF(E478 &gt; IFERROR(INDEX(جدول [2]الأقساط!$E:$E,MATCH(J478,جدول [2]الأقساط!$A:$A,0)), E478), "⚠️ تحصيل أكبر من قيمة القسط", "سليم"), "سليم")</f>
        <v>سليم</v>
      </c>
    </row>
    <row r="479" spans="3:12" x14ac:dyDescent="0.25">
      <c r="C479" t="str">
        <f>IF(I479="","",IFERROR(INDEX(المبيعات!$C:$C,MATCH(I479,المبيعات!$A:$A,0)),""))</f>
        <v/>
      </c>
      <c r="L479" t="str">
        <f>IF(AND(J479&lt;&gt;"", E479&lt;&gt;""), IF(E479 &gt; IFERROR(INDEX(جدول [2]الأقساط!$E:$E,MATCH(J479,جدول [2]الأقساط!$A:$A,0)), E479), "⚠️ تحصيل أكبر من قيمة القسط", "سليم"), "سليم")</f>
        <v>سليم</v>
      </c>
    </row>
    <row r="480" spans="3:12" x14ac:dyDescent="0.25">
      <c r="C480" t="str">
        <f>IF(I480="","",IFERROR(INDEX(المبيعات!$C:$C,MATCH(I480,المبيعات!$A:$A,0)),""))</f>
        <v/>
      </c>
      <c r="L480" t="str">
        <f>IF(AND(J480&lt;&gt;"", E480&lt;&gt;""), IF(E480 &gt; IFERROR(INDEX(جدول [2]الأقساط!$E:$E,MATCH(J480,جدول [2]الأقساط!$A:$A,0)), E480), "⚠️ تحصيل أكبر من قيمة القسط", "سليم"), "سليم")</f>
        <v>سليم</v>
      </c>
    </row>
    <row r="481" spans="3:12" x14ac:dyDescent="0.25">
      <c r="C481" t="str">
        <f>IF(I481="","",IFERROR(INDEX(المبيعات!$C:$C,MATCH(I481,المبيعات!$A:$A,0)),""))</f>
        <v/>
      </c>
      <c r="L481" t="str">
        <f>IF(AND(J481&lt;&gt;"", E481&lt;&gt;""), IF(E481 &gt; IFERROR(INDEX(جدول [2]الأقساط!$E:$E,MATCH(J481,جدول [2]الأقساط!$A:$A,0)), E481), "⚠️ تحصيل أكبر من قيمة القسط", "سليم"), "سليم")</f>
        <v>سليم</v>
      </c>
    </row>
    <row r="482" spans="3:12" x14ac:dyDescent="0.25">
      <c r="C482" t="str">
        <f>IF(I482="","",IFERROR(INDEX(المبيعات!$C:$C,MATCH(I482,المبيعات!$A:$A,0)),""))</f>
        <v/>
      </c>
      <c r="L482" t="str">
        <f>IF(AND(J482&lt;&gt;"", E482&lt;&gt;""), IF(E482 &gt; IFERROR(INDEX(جدول [2]الأقساط!$E:$E,MATCH(J482,جدول [2]الأقساط!$A:$A,0)), E482), "⚠️ تحصيل أكبر من قيمة القسط", "سليم"), "سليم")</f>
        <v>سليم</v>
      </c>
    </row>
    <row r="483" spans="3:12" x14ac:dyDescent="0.25">
      <c r="C483" t="str">
        <f>IF(I483="","",IFERROR(INDEX(المبيعات!$C:$C,MATCH(I483,المبيعات!$A:$A,0)),""))</f>
        <v/>
      </c>
      <c r="L483" t="str">
        <f>IF(AND(J483&lt;&gt;"", E483&lt;&gt;""), IF(E483 &gt; IFERROR(INDEX(جدول [2]الأقساط!$E:$E,MATCH(J483,جدول [2]الأقساط!$A:$A,0)), E483), "⚠️ تحصيل أكبر من قيمة القسط", "سليم"), "سليم")</f>
        <v>سليم</v>
      </c>
    </row>
    <row r="484" spans="3:12" x14ac:dyDescent="0.25">
      <c r="C484" t="str">
        <f>IF(I484="","",IFERROR(INDEX(المبيعات!$C:$C,MATCH(I484,المبيعات!$A:$A,0)),""))</f>
        <v/>
      </c>
      <c r="L484" t="str">
        <f>IF(AND(J484&lt;&gt;"", E484&lt;&gt;""), IF(E484 &gt; IFERROR(INDEX(جدول [2]الأقساط!$E:$E,MATCH(J484,جدول [2]الأقساط!$A:$A,0)), E484), "⚠️ تحصيل أكبر من قيمة القسط", "سليم"), "سليم")</f>
        <v>سليم</v>
      </c>
    </row>
    <row r="485" spans="3:12" x14ac:dyDescent="0.25">
      <c r="C485" t="str">
        <f>IF(I485="","",IFERROR(INDEX(المبيعات!$C:$C,MATCH(I485,المبيعات!$A:$A,0)),""))</f>
        <v/>
      </c>
      <c r="L485" t="str">
        <f>IF(AND(J485&lt;&gt;"", E485&lt;&gt;""), IF(E485 &gt; IFERROR(INDEX(جدول [2]الأقساط!$E:$E,MATCH(J485,جدول [2]الأقساط!$A:$A,0)), E485), "⚠️ تحصيل أكبر من قيمة القسط", "سليم"), "سليم")</f>
        <v>سليم</v>
      </c>
    </row>
    <row r="486" spans="3:12" x14ac:dyDescent="0.25">
      <c r="C486" t="str">
        <f>IF(I486="","",IFERROR(INDEX(المبيعات!$C:$C,MATCH(I486,المبيعات!$A:$A,0)),""))</f>
        <v/>
      </c>
      <c r="L486" t="str">
        <f>IF(AND(J486&lt;&gt;"", E486&lt;&gt;""), IF(E486 &gt; IFERROR(INDEX(جدول [2]الأقساط!$E:$E,MATCH(J486,جدول [2]الأقساط!$A:$A,0)), E486), "⚠️ تحصيل أكبر من قيمة القسط", "سليم"), "سليم")</f>
        <v>سليم</v>
      </c>
    </row>
    <row r="487" spans="3:12" x14ac:dyDescent="0.25">
      <c r="C487" t="str">
        <f>IF(I487="","",IFERROR(INDEX(المبيعات!$C:$C,MATCH(I487,المبيعات!$A:$A,0)),""))</f>
        <v/>
      </c>
      <c r="L487" t="str">
        <f>IF(AND(J487&lt;&gt;"", E487&lt;&gt;""), IF(E487 &gt; IFERROR(INDEX(جدول [2]الأقساط!$E:$E,MATCH(J487,جدول [2]الأقساط!$A:$A,0)), E487), "⚠️ تحصيل أكبر من قيمة القسط", "سليم"), "سليم")</f>
        <v>سليم</v>
      </c>
    </row>
    <row r="488" spans="3:12" x14ac:dyDescent="0.25">
      <c r="C488" t="str">
        <f>IF(I488="","",IFERROR(INDEX(المبيعات!$C:$C,MATCH(I488,المبيعات!$A:$A,0)),""))</f>
        <v/>
      </c>
      <c r="L488" t="str">
        <f>IF(AND(J488&lt;&gt;"", E488&lt;&gt;""), IF(E488 &gt; IFERROR(INDEX(جدول [2]الأقساط!$E:$E,MATCH(J488,جدول [2]الأقساط!$A:$A,0)), E488), "⚠️ تحصيل أكبر من قيمة القسط", "سليم"), "سليم")</f>
        <v>سليم</v>
      </c>
    </row>
    <row r="489" spans="3:12" x14ac:dyDescent="0.25">
      <c r="C489" t="str">
        <f>IF(I489="","",IFERROR(INDEX(المبيعات!$C:$C,MATCH(I489,المبيعات!$A:$A,0)),""))</f>
        <v/>
      </c>
      <c r="L489" t="str">
        <f>IF(AND(J489&lt;&gt;"", E489&lt;&gt;""), IF(E489 &gt; IFERROR(INDEX(جدول [2]الأقساط!$E:$E,MATCH(J489,جدول [2]الأقساط!$A:$A,0)), E489), "⚠️ تحصيل أكبر من قيمة القسط", "سليم"), "سليم")</f>
        <v>سليم</v>
      </c>
    </row>
    <row r="490" spans="3:12" x14ac:dyDescent="0.25">
      <c r="C490" t="str">
        <f>IF(I490="","",IFERROR(INDEX(المبيعات!$C:$C,MATCH(I490,المبيعات!$A:$A,0)),""))</f>
        <v/>
      </c>
      <c r="L490" t="str">
        <f>IF(AND(J490&lt;&gt;"", E490&lt;&gt;""), IF(E490 &gt; IFERROR(INDEX(جدول [2]الأقساط!$E:$E,MATCH(J490,جدول [2]الأقساط!$A:$A,0)), E490), "⚠️ تحصيل أكبر من قيمة القسط", "سليم"), "سليم")</f>
        <v>سليم</v>
      </c>
    </row>
    <row r="491" spans="3:12" x14ac:dyDescent="0.25">
      <c r="C491" t="str">
        <f>IF(I491="","",IFERROR(INDEX(المبيعات!$C:$C,MATCH(I491,المبيعات!$A:$A,0)),""))</f>
        <v/>
      </c>
      <c r="L491" t="str">
        <f>IF(AND(J491&lt;&gt;"", E491&lt;&gt;""), IF(E491 &gt; IFERROR(INDEX(جدول [2]الأقساط!$E:$E,MATCH(J491,جدول [2]الأقساط!$A:$A,0)), E491), "⚠️ تحصيل أكبر من قيمة القسط", "سليم"), "سليم")</f>
        <v>سليم</v>
      </c>
    </row>
    <row r="492" spans="3:12" x14ac:dyDescent="0.25">
      <c r="C492" t="str">
        <f>IF(I492="","",IFERROR(INDEX(المبيعات!$C:$C,MATCH(I492,المبيعات!$A:$A,0)),""))</f>
        <v/>
      </c>
      <c r="L492" t="str">
        <f>IF(AND(J492&lt;&gt;"", E492&lt;&gt;""), IF(E492 &gt; IFERROR(INDEX(جدول [2]الأقساط!$E:$E,MATCH(J492,جدول [2]الأقساط!$A:$A,0)), E492), "⚠️ تحصيل أكبر من قيمة القسط", "سليم"), "سليم")</f>
        <v>سليم</v>
      </c>
    </row>
    <row r="493" spans="3:12" x14ac:dyDescent="0.25">
      <c r="C493" t="str">
        <f>IF(I493="","",IFERROR(INDEX(المبيعات!$C:$C,MATCH(I493,المبيعات!$A:$A,0)),""))</f>
        <v/>
      </c>
      <c r="L493" t="str">
        <f>IF(AND(J493&lt;&gt;"", E493&lt;&gt;""), IF(E493 &gt; IFERROR(INDEX(جدول [2]الأقساط!$E:$E,MATCH(J493,جدول [2]الأقساط!$A:$A,0)), E493), "⚠️ تحصيل أكبر من قيمة القسط", "سليم"), "سليم")</f>
        <v>سليم</v>
      </c>
    </row>
    <row r="494" spans="3:12" x14ac:dyDescent="0.25">
      <c r="C494" t="str">
        <f>IF(I494="","",IFERROR(INDEX(المبيعات!$C:$C,MATCH(I494,المبيعات!$A:$A,0)),""))</f>
        <v/>
      </c>
      <c r="L494" t="str">
        <f>IF(AND(J494&lt;&gt;"", E494&lt;&gt;""), IF(E494 &gt; IFERROR(INDEX(جدول [2]الأقساط!$E:$E,MATCH(J494,جدول [2]الأقساط!$A:$A,0)), E494), "⚠️ تحصيل أكبر من قيمة القسط", "سليم"), "سليم")</f>
        <v>سليم</v>
      </c>
    </row>
    <row r="495" spans="3:12" x14ac:dyDescent="0.25">
      <c r="C495" t="str">
        <f>IF(I495="","",IFERROR(INDEX(المبيعات!$C:$C,MATCH(I495,المبيعات!$A:$A,0)),""))</f>
        <v/>
      </c>
      <c r="L495" t="str">
        <f>IF(AND(J495&lt;&gt;"", E495&lt;&gt;""), IF(E495 &gt; IFERROR(INDEX(جدول [2]الأقساط!$E:$E,MATCH(J495,جدول [2]الأقساط!$A:$A,0)), E495), "⚠️ تحصيل أكبر من قيمة القسط", "سليم"), "سليم")</f>
        <v>سليم</v>
      </c>
    </row>
    <row r="496" spans="3:12" x14ac:dyDescent="0.25">
      <c r="C496" t="str">
        <f>IF(I496="","",IFERROR(INDEX(المبيعات!$C:$C,MATCH(I496,المبيعات!$A:$A,0)),""))</f>
        <v/>
      </c>
      <c r="L496" t="str">
        <f>IF(AND(J496&lt;&gt;"", E496&lt;&gt;""), IF(E496 &gt; IFERROR(INDEX(جدول [2]الأقساط!$E:$E,MATCH(J496,جدول [2]الأقساط!$A:$A,0)), E496), "⚠️ تحصيل أكبر من قيمة القسط", "سليم"), "سليم")</f>
        <v>سليم</v>
      </c>
    </row>
    <row r="497" spans="3:12" x14ac:dyDescent="0.25">
      <c r="C497" t="str">
        <f>IF(I497="","",IFERROR(INDEX(المبيعات!$C:$C,MATCH(I497,المبيعات!$A:$A,0)),""))</f>
        <v/>
      </c>
      <c r="L497" t="str">
        <f>IF(AND(J497&lt;&gt;"", E497&lt;&gt;""), IF(E497 &gt; IFERROR(INDEX(جدول [2]الأقساط!$E:$E,MATCH(J497,جدول [2]الأقساط!$A:$A,0)), E497), "⚠️ تحصيل أكبر من قيمة القسط", "سليم"), "سليم")</f>
        <v>سليم</v>
      </c>
    </row>
    <row r="498" spans="3:12" x14ac:dyDescent="0.25">
      <c r="C498" t="str">
        <f>IF(I498="","",IFERROR(INDEX(المبيعات!$C:$C,MATCH(I498,المبيعات!$A:$A,0)),""))</f>
        <v/>
      </c>
      <c r="L498" t="str">
        <f>IF(AND(J498&lt;&gt;"", E498&lt;&gt;""), IF(E498 &gt; IFERROR(INDEX(جدول [2]الأقساط!$E:$E,MATCH(J498,جدول [2]الأقساط!$A:$A,0)), E498), "⚠️ تحصيل أكبر من قيمة القسط", "سليم"), "سليم")</f>
        <v>سليم</v>
      </c>
    </row>
    <row r="499" spans="3:12" x14ac:dyDescent="0.25">
      <c r="C499" t="str">
        <f>IF(I499="","",IFERROR(INDEX(المبيعات!$C:$C,MATCH(I499,المبيعات!$A:$A,0)),""))</f>
        <v/>
      </c>
      <c r="L499" t="str">
        <f>IF(AND(J499&lt;&gt;"", E499&lt;&gt;""), IF(E499 &gt; IFERROR(INDEX(جدول [2]الأقساط!$E:$E,MATCH(J499,جدول [2]الأقساط!$A:$A,0)), E499), "⚠️ تحصيل أكبر من قيمة القسط", "سليم"), "سليم")</f>
        <v>سليم</v>
      </c>
    </row>
  </sheetData>
  <dataValidations count="2">
    <dataValidation type="list" showInputMessage="1" showErrorMessage="1" sqref="C3:C5009">
      <formula1>ProjList</formula1>
    </dataValidation>
    <dataValidation type="list" showInputMessage="1" showErrorMessage="1" sqref="F3:F5009">
      <formula1>ColTypes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rightToLeft="1" workbookViewId="0">
      <selection activeCell="C7" sqref="C7"/>
    </sheetView>
  </sheetViews>
  <sheetFormatPr defaultRowHeight="15" x14ac:dyDescent="0.25"/>
  <cols>
    <col min="1" max="6" width="15.7109375" customWidth="1"/>
  </cols>
  <sheetData>
    <row r="2" spans="1:6" x14ac:dyDescent="0.25">
      <c r="A2" t="s">
        <v>170</v>
      </c>
      <c r="B2" t="s">
        <v>161</v>
      </c>
      <c r="C2" t="s">
        <v>188</v>
      </c>
      <c r="D2" t="s">
        <v>174</v>
      </c>
      <c r="E2" t="s">
        <v>172</v>
      </c>
      <c r="F2" t="s">
        <v>32</v>
      </c>
    </row>
    <row r="3" spans="1:6" x14ac:dyDescent="0.25">
      <c r="A3">
        <v>46188</v>
      </c>
      <c r="B3" t="s">
        <v>189</v>
      </c>
      <c r="C3" t="s">
        <v>28</v>
      </c>
      <c r="D3" t="s">
        <v>190</v>
      </c>
      <c r="E3">
        <v>92000</v>
      </c>
    </row>
    <row r="4" spans="1:6" x14ac:dyDescent="0.25">
      <c r="A4">
        <v>46223</v>
      </c>
      <c r="B4" t="s">
        <v>191</v>
      </c>
      <c r="C4" t="s">
        <v>28</v>
      </c>
      <c r="D4" t="s">
        <v>192</v>
      </c>
      <c r="E4">
        <v>80000</v>
      </c>
    </row>
    <row r="5" spans="1:6" x14ac:dyDescent="0.25">
      <c r="A5">
        <v>46200</v>
      </c>
      <c r="B5" t="s">
        <v>189</v>
      </c>
      <c r="C5" t="s">
        <v>28</v>
      </c>
      <c r="D5" t="s">
        <v>192</v>
      </c>
      <c r="E5">
        <v>58000</v>
      </c>
    </row>
    <row r="6" spans="1:6" x14ac:dyDescent="0.25">
      <c r="B6" t="s">
        <v>191</v>
      </c>
      <c r="C6" t="s">
        <v>14</v>
      </c>
      <c r="E6">
        <v>100000</v>
      </c>
    </row>
  </sheetData>
  <dataValidations count="2">
    <dataValidation type="list" showInputMessage="1" showErrorMessage="1" sqref="B3:B5001">
      <formula1>ProjList</formula1>
    </dataValidation>
    <dataValidation type="list" showInputMessage="1" showErrorMessage="1" sqref="C3:C5001">
      <formula1>ExpTypes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rightToLeft="1" workbookViewId="0">
      <selection activeCell="A2" sqref="A2"/>
    </sheetView>
  </sheetViews>
  <sheetFormatPr defaultRowHeight="15" x14ac:dyDescent="0.25"/>
  <cols>
    <col min="1" max="5" width="20.7109375" customWidth="1"/>
  </cols>
  <sheetData>
    <row r="1" spans="1:5" x14ac:dyDescent="0.25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workbookViewId="0">
      <selection activeCell="J4" sqref="J4"/>
    </sheetView>
  </sheetViews>
  <sheetFormatPr defaultRowHeight="15" x14ac:dyDescent="0.25"/>
  <cols>
    <col min="1" max="11" width="15.7109375" customWidth="1"/>
  </cols>
  <sheetData>
    <row r="2" spans="1:11" x14ac:dyDescent="0.25">
      <c r="A2" t="s">
        <v>169</v>
      </c>
      <c r="B2" t="s">
        <v>170</v>
      </c>
      <c r="C2" t="s">
        <v>198</v>
      </c>
      <c r="D2" t="s">
        <v>199</v>
      </c>
      <c r="E2" t="s">
        <v>200</v>
      </c>
      <c r="F2" t="s">
        <v>201</v>
      </c>
      <c r="G2" t="s">
        <v>172</v>
      </c>
      <c r="H2" t="s">
        <v>202</v>
      </c>
      <c r="I2" t="s">
        <v>203</v>
      </c>
      <c r="J2" t="s">
        <v>174</v>
      </c>
      <c r="K2" t="s">
        <v>32</v>
      </c>
    </row>
    <row r="3" spans="1:11" x14ac:dyDescent="0.25">
      <c r="A3" t="s">
        <v>204</v>
      </c>
      <c r="B3" s="6">
        <v>45658</v>
      </c>
      <c r="C3" t="s">
        <v>13</v>
      </c>
      <c r="D3" t="s">
        <v>124</v>
      </c>
      <c r="F3" t="s">
        <v>36</v>
      </c>
      <c r="G3">
        <v>500000</v>
      </c>
      <c r="J3" t="s">
        <v>205</v>
      </c>
    </row>
    <row r="4" spans="1:11" x14ac:dyDescent="0.25">
      <c r="A4" t="s">
        <v>206</v>
      </c>
      <c r="B4" s="6">
        <v>45993</v>
      </c>
      <c r="C4" t="s">
        <v>13</v>
      </c>
      <c r="D4" t="s">
        <v>124</v>
      </c>
      <c r="F4" t="s">
        <v>34</v>
      </c>
      <c r="G4">
        <v>350000</v>
      </c>
    </row>
    <row r="5" spans="1:11" x14ac:dyDescent="0.25">
      <c r="A5" t="s">
        <v>207</v>
      </c>
      <c r="B5" s="6">
        <v>46059</v>
      </c>
      <c r="C5" t="s">
        <v>13</v>
      </c>
      <c r="D5" t="s">
        <v>124</v>
      </c>
      <c r="F5" t="s">
        <v>34</v>
      </c>
      <c r="G5">
        <v>430000</v>
      </c>
    </row>
    <row r="6" spans="1:11" x14ac:dyDescent="0.25">
      <c r="A6" t="s">
        <v>208</v>
      </c>
      <c r="B6" s="6">
        <v>46127</v>
      </c>
      <c r="C6" t="s">
        <v>13</v>
      </c>
      <c r="D6" t="s">
        <v>124</v>
      </c>
      <c r="F6" t="s">
        <v>34</v>
      </c>
      <c r="G6">
        <v>260000</v>
      </c>
    </row>
    <row r="7" spans="1:11" x14ac:dyDescent="0.25">
      <c r="A7" t="s">
        <v>209</v>
      </c>
      <c r="B7" s="6">
        <v>46235</v>
      </c>
      <c r="C7" t="s">
        <v>13</v>
      </c>
      <c r="D7" t="s">
        <v>124</v>
      </c>
      <c r="F7" t="s">
        <v>34</v>
      </c>
      <c r="G7">
        <v>445000</v>
      </c>
    </row>
    <row r="8" spans="1:11" x14ac:dyDescent="0.25">
      <c r="A8" t="s">
        <v>210</v>
      </c>
      <c r="B8" s="6">
        <v>46023</v>
      </c>
    </row>
    <row r="9" spans="1:11" x14ac:dyDescent="0.25">
      <c r="A9" t="s">
        <v>211</v>
      </c>
      <c r="B9" s="6"/>
    </row>
    <row r="10" spans="1:11" x14ac:dyDescent="0.25">
      <c r="A10" t="s">
        <v>212</v>
      </c>
      <c r="B10" s="6"/>
    </row>
    <row r="11" spans="1:11" x14ac:dyDescent="0.25">
      <c r="A11" t="s">
        <v>213</v>
      </c>
      <c r="B11" s="6"/>
    </row>
    <row r="12" spans="1:11" x14ac:dyDescent="0.25">
      <c r="A12" t="s">
        <v>214</v>
      </c>
      <c r="B12" s="6"/>
    </row>
    <row r="13" spans="1:11" x14ac:dyDescent="0.25">
      <c r="A13" t="s">
        <v>215</v>
      </c>
      <c r="B13" s="6"/>
    </row>
    <row r="14" spans="1:11" x14ac:dyDescent="0.25">
      <c r="A14" t="s">
        <v>216</v>
      </c>
      <c r="B14" s="6"/>
    </row>
    <row r="15" spans="1:11" x14ac:dyDescent="0.25">
      <c r="A15" t="s">
        <v>217</v>
      </c>
      <c r="B15" s="6"/>
    </row>
  </sheetData>
  <dataValidations count="3">
    <dataValidation type="list" showInputMessage="1" showErrorMessage="1" sqref="C3:C5013">
      <formula1>DistTypes</formula1>
    </dataValidation>
    <dataValidation type="list" showInputMessage="1" showErrorMessage="1" sqref="D3:E5013">
      <formula1>ProjList</formula1>
    </dataValidation>
    <dataValidation type="list" showInputMessage="1" showErrorMessage="1" sqref="F3:F5013">
      <formula1>InvList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rightToLeft="1" workbookViewId="0">
      <selection activeCell="C18" sqref="C18"/>
    </sheetView>
  </sheetViews>
  <sheetFormatPr defaultRowHeight="15" x14ac:dyDescent="0.25"/>
  <cols>
    <col min="1" max="1" width="5.7109375" customWidth="1"/>
    <col min="2" max="11" width="16.7109375" customWidth="1"/>
  </cols>
  <sheetData>
    <row r="2" spans="2:11" x14ac:dyDescent="0.25">
      <c r="B2" s="14" t="s">
        <v>218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2:11" x14ac:dyDescent="0.25">
      <c r="C5" s="1" t="s">
        <v>219</v>
      </c>
      <c r="D5" s="2" t="s">
        <v>58</v>
      </c>
    </row>
    <row r="7" spans="2:11" x14ac:dyDescent="0.25">
      <c r="B7" s="1" t="s">
        <v>110</v>
      </c>
      <c r="C7" s="3">
        <f>SUMIFS(Tbl_Contributions[رأس مال المساهم], Tbl_Contributions[اسم المساهم], D5)</f>
        <v>1788316.67</v>
      </c>
      <c r="D7" s="1" t="s">
        <v>135</v>
      </c>
      <c r="E7" s="3">
        <f>SUMIFS(Tbl_Contributions[نصيب الإدارة], Tbl_Contributions[اسم المساهم], D5)</f>
        <v>27251.628387096775</v>
      </c>
      <c r="F7" s="1" t="s">
        <v>220</v>
      </c>
      <c r="G7" s="3">
        <f>SUMIFS(Tbl_Contributions[صافي ربح المساهم], Tbl_Contributions[اسم المساهم], D5)</f>
        <v>-1320662.099784947</v>
      </c>
    </row>
    <row r="8" spans="2:11" ht="30" customHeight="1" x14ac:dyDescent="0.25">
      <c r="B8" s="1" t="s">
        <v>221</v>
      </c>
      <c r="C8" s="3">
        <f>SUMIFS(Tbl_Contributions[إجمالي المستحق للمساهم], Tbl_Contributions[اسم المساهم], D5)</f>
        <v>1149830.5135483872</v>
      </c>
      <c r="D8" s="1" t="s">
        <v>222</v>
      </c>
      <c r="E8" s="3">
        <f>SUMIFS(Tbl_Contributions[المسحوبات (تتضمن رد رأس المال والأرباح)], Tbl_Contributions[اسم المساهم], D5)</f>
        <v>0</v>
      </c>
      <c r="F8" s="1" t="s">
        <v>223</v>
      </c>
      <c r="G8" s="3">
        <f>C8-E8</f>
        <v>1149830.5135483872</v>
      </c>
    </row>
    <row r="11" spans="2:11" x14ac:dyDescent="0.25">
      <c r="B11" s="1" t="s">
        <v>105</v>
      </c>
      <c r="C11" s="1" t="s">
        <v>224</v>
      </c>
      <c r="D11" s="1" t="s">
        <v>225</v>
      </c>
      <c r="E11" s="1" t="s">
        <v>226</v>
      </c>
      <c r="F11" s="1" t="s">
        <v>227</v>
      </c>
      <c r="G11" s="1" t="s">
        <v>135</v>
      </c>
      <c r="H11" s="1" t="s">
        <v>116</v>
      </c>
      <c r="I11" s="1" t="s">
        <v>221</v>
      </c>
      <c r="J11" s="1" t="s">
        <v>228</v>
      </c>
      <c r="K11" s="1" t="s">
        <v>165</v>
      </c>
    </row>
    <row r="12" spans="2:11" x14ac:dyDescent="0.25">
      <c r="B12" s="3" t="str">
        <f>IFERROR(INDEX(Tbl_Projects[اسم المشروع], 1), "")</f>
        <v>8842</v>
      </c>
      <c r="C12" s="3">
        <f>IF($B12="","",SUMIFS(Tbl_Contributions[رأس مال المساهم], Tbl_Contributions[اسم المشروع], $B12, Tbl_Contributions[اسم المساهم], $D$5))</f>
        <v>795000</v>
      </c>
      <c r="D12" s="4">
        <f>IF($C12=0,"",$C12/SUMIFS(Tbl_Contributions[رأس مال المساهم], Tbl_Contributions[اسم المشروع], $B12))</f>
        <v>5.2999999999999999E-2</v>
      </c>
      <c r="E12" s="4">
        <f>IF($C12=0,"",SUMIFS(Tbl_Contributions[نسبة الإدارة الخاصة به], Tbl_Contributions[اسم المشروع], $B12, Tbl_Contributions[اسم المساهم], $D$5))</f>
        <v>0.2</v>
      </c>
      <c r="F12" s="3">
        <f>IF($C12=0,"",SUMIFS(Tbl_Contributions[حصة الربح قبل الإدارة], Tbl_Contributions[اسم المشروع], $B12, Tbl_Contributions[اسم المساهم], $D$5))</f>
        <v>-340843</v>
      </c>
      <c r="G12" s="3">
        <f>IF($C12=0,"",SUMIFS(Tbl_Contributions[نصيب الإدارة], Tbl_Contributions[اسم المشروع], $B12, Tbl_Contributions[اسم المساهم], $D$5))</f>
        <v>0</v>
      </c>
      <c r="H12" s="3">
        <f>IF($C12=0,"",SUMIFS(Tbl_Contributions[صافي ربح المساهم], Tbl_Contributions[اسم المشروع], $B12, Tbl_Contributions[اسم المساهم], $D$5))</f>
        <v>-340843</v>
      </c>
      <c r="I12" s="3">
        <f>IF($C12=0,"",SUMIFS(Tbl_Contributions[إجمالي المستحق للمساهم], Tbl_Contributions[اسم المشروع], $B12, Tbl_Contributions[اسم المساهم], $D$5))</f>
        <v>454157</v>
      </c>
      <c r="J12" s="3">
        <f>IF($C12=0,"",SUMIFS(Tbl_Contributions[المسحوبات (تتضمن رد رأس المال والأرباح)], Tbl_Contributions[اسم المشروع], $B12, Tbl_Contributions[اسم المساهم], $D$5))</f>
        <v>0</v>
      </c>
      <c r="K12" s="3">
        <f t="shared" ref="K12:K41" si="0">IF($C12=0,"",$I12-$J12)</f>
        <v>454157</v>
      </c>
    </row>
    <row r="13" spans="2:11" x14ac:dyDescent="0.25">
      <c r="B13" s="3" t="str">
        <f>IFERROR(INDEX(Tbl_Projects[اسم المشروع], 2), "")</f>
        <v>مصر للتامين</v>
      </c>
      <c r="C13" s="3">
        <f>IF($B13="","",SUMIFS(Tbl_Contributions[رأس مال المساهم], Tbl_Contributions[اسم المشروع], $B13, Tbl_Contributions[اسم المساهم], $D$5))</f>
        <v>80650</v>
      </c>
      <c r="D13" s="4">
        <f>IF($C13=0,"",$C13/SUMIFS(Tbl_Contributions[رأس مال المساهم], Tbl_Contributions[اسم المشروع], $B13))</f>
        <v>6.2038461538461535E-3</v>
      </c>
      <c r="E13" s="4">
        <f>IF($C13=0,"",SUMIFS(Tbl_Contributions[نسبة الإدارة الخاصة به], Tbl_Contributions[اسم المشروع], $B13, Tbl_Contributions[اسم المساهم], $D$5))</f>
        <v>0.2</v>
      </c>
      <c r="F13" s="3">
        <f>IF($C13=0,"",SUMIFS(Tbl_Contributions[حصة الربح قبل الإدارة], Tbl_Contributions[اسم المشروع], $B13, Tbl_Contributions[اسم المساهم], $D$5))</f>
        <v>-80650</v>
      </c>
      <c r="G13" s="3">
        <f>IF($C13=0,"",SUMIFS(Tbl_Contributions[نصيب الإدارة], Tbl_Contributions[اسم المشروع], $B13, Tbl_Contributions[اسم المساهم], $D$5))</f>
        <v>0</v>
      </c>
      <c r="H13" s="3">
        <f>IF($C13=0,"",SUMIFS(Tbl_Contributions[صافي ربح المساهم], Tbl_Contributions[اسم المشروع], $B13, Tbl_Contributions[اسم المساهم], $D$5))</f>
        <v>-80650</v>
      </c>
      <c r="I13" s="3">
        <f>IF($C13=0,"",SUMIFS(Tbl_Contributions[إجمالي المستحق للمساهم], Tbl_Contributions[اسم المشروع], $B13, Tbl_Contributions[اسم المساهم], $D$5))</f>
        <v>0</v>
      </c>
      <c r="J13" s="3">
        <f>IF($C13=0,"",SUMIFS(Tbl_Contributions[المسحوبات (تتضمن رد رأس المال والأرباح)], Tbl_Contributions[اسم المشروع], $B13, Tbl_Contributions[اسم المساهم], $D$5))</f>
        <v>0</v>
      </c>
      <c r="K13" s="3">
        <f t="shared" si="0"/>
        <v>0</v>
      </c>
    </row>
    <row r="14" spans="2:11" x14ac:dyDescent="0.25">
      <c r="B14" s="3" t="str">
        <f>IFERROR(INDEX(Tbl_Projects[اسم المشروع], 3), "")</f>
        <v>خلف قطعة بلال قطعه 12</v>
      </c>
      <c r="C14" s="3">
        <f>IF($B14="","",SUMIFS(Tbl_Contributions[رأس مال المساهم], Tbl_Contributions[اسم المشروع], $B14, Tbl_Contributions[اسم المساهم], $D$5))</f>
        <v>912666.67</v>
      </c>
      <c r="D14" s="4">
        <f>IF($C14=0,"",$C14/SUMIFS(Tbl_Contributions[رأس مال المساهم], Tbl_Contributions[اسم المشروع], $B14))</f>
        <v>0.18253333363493335</v>
      </c>
      <c r="E14" s="4">
        <f>IF($C14=0,"",SUMIFS(Tbl_Contributions[نسبة الإدارة الخاصة به], Tbl_Contributions[اسم المشروع], $B14, Tbl_Contributions[اسم المساهم], $D$5))</f>
        <v>0.2</v>
      </c>
      <c r="F14" s="3">
        <f>IF($C14=0,"",SUMIFS(Tbl_Contributions[حصة الربح قبل الإدارة], Tbl_Contributions[اسم المشروع], $B14, Tbl_Contributions[اسم المساهم], $D$5))</f>
        <v>-912666.67</v>
      </c>
      <c r="G14" s="3">
        <f>IF($C14=0,"",SUMIFS(Tbl_Contributions[نصيب الإدارة], Tbl_Contributions[اسم المشروع], $B14, Tbl_Contributions[اسم المساهم], $D$5))</f>
        <v>0</v>
      </c>
      <c r="H14" s="3">
        <f>IF($C14=0,"",SUMIFS(Tbl_Contributions[صافي ربح المساهم], Tbl_Contributions[اسم المشروع], $B14, Tbl_Contributions[اسم المساهم], $D$5))</f>
        <v>-912666.67</v>
      </c>
      <c r="I14" s="3">
        <f>IF($C14=0,"",SUMIFS(Tbl_Contributions[إجمالي المستحق للمساهم], Tbl_Contributions[اسم المشروع], $B14, Tbl_Contributions[اسم المساهم], $D$5))</f>
        <v>0</v>
      </c>
      <c r="J14" s="3">
        <f>IF($C14=0,"",SUMIFS(Tbl_Contributions[المسحوبات (تتضمن رد رأس المال والأرباح)], Tbl_Contributions[اسم المشروع], $B14, Tbl_Contributions[اسم المساهم], $D$5))</f>
        <v>0</v>
      </c>
      <c r="K14" s="3">
        <f t="shared" si="0"/>
        <v>0</v>
      </c>
    </row>
    <row r="15" spans="2:11" x14ac:dyDescent="0.25">
      <c r="B15" s="3" t="str">
        <f>IFERROR(INDEX(Tbl_Projects[اسم المشروع], 4), "")</f>
        <v>شقة الاكاديمية</v>
      </c>
      <c r="C15" s="3">
        <f>IF($B15="","",SUMIFS(Tbl_Contributions[رأس مال المساهم], Tbl_Contributions[اسم المشروع], $B15, Tbl_Contributions[اسم المساهم], $D$5))</f>
        <v>586667</v>
      </c>
      <c r="D15" s="4">
        <f>IF($C15=0,"",$C15/SUMIFS(Tbl_Contributions[رأس مال المساهم], Tbl_Contributions[اسم المشروع], $B15))</f>
        <v>0.18924741935483871</v>
      </c>
      <c r="E15" s="4">
        <f>IF($C15=0,"",SUMIFS(Tbl_Contributions[نسبة الإدارة الخاصة به], Tbl_Contributions[اسم المشروع], $B15, Tbl_Contributions[اسم المساهم], $D$5))</f>
        <v>0.2</v>
      </c>
      <c r="F15" s="3">
        <f>IF($C15=0,"",SUMIFS(Tbl_Contributions[حصة الربح قبل الإدارة], Tbl_Contributions[اسم المشروع], $B15, Tbl_Contributions[اسم المساهم], $D$5))</f>
        <v>136258.14193548387</v>
      </c>
      <c r="G15" s="3">
        <f>IF($C15=0,"",SUMIFS(Tbl_Contributions[نصيب الإدارة], Tbl_Contributions[اسم المشروع], $B15, Tbl_Contributions[اسم المساهم], $D$5))</f>
        <v>27251.628387096775</v>
      </c>
      <c r="H15" s="3">
        <f>IF($C15=0,"",SUMIFS(Tbl_Contributions[صافي ربح المساهم], Tbl_Contributions[اسم المشروع], $B15, Tbl_Contributions[اسم المساهم], $D$5))</f>
        <v>109006.5135483871</v>
      </c>
      <c r="I15" s="3">
        <f>IF($C15=0,"",SUMIFS(Tbl_Contributions[إجمالي المستحق للمساهم], Tbl_Contributions[اسم المشروع], $B15, Tbl_Contributions[اسم المساهم], $D$5))</f>
        <v>695673.5135483871</v>
      </c>
      <c r="J15" s="3">
        <f>IF($C15=0,"",SUMIFS(Tbl_Contributions[المسحوبات (تتضمن رد رأس المال والأرباح)], Tbl_Contributions[اسم المشروع], $B15, Tbl_Contributions[اسم المساهم], $D$5))</f>
        <v>0</v>
      </c>
      <c r="K15" s="3">
        <f t="shared" si="0"/>
        <v>695673.5135483871</v>
      </c>
    </row>
    <row r="16" spans="2:11" x14ac:dyDescent="0.25">
      <c r="B16" s="3" t="str">
        <f>IFERROR(INDEX(Tbl_Projects[اسم المشروع], 5), "")</f>
        <v>شارع ابو شقره</v>
      </c>
      <c r="C16" s="3">
        <f>IF($B16="","",SUMIFS(Tbl_Contributions[رأس مال المساهم], Tbl_Contributions[اسم المشروع], $B16, Tbl_Contributions[اسم المساهم], $D$5))</f>
        <v>95508.943333334289</v>
      </c>
      <c r="D16" s="4">
        <f>IF($C16=0,"",$C16/SUMIFS(Tbl_Contributions[رأس مال المساهم], Tbl_Contributions[اسم المشروع], $B16))</f>
        <v>1.7365262424242599E-2</v>
      </c>
      <c r="E16" s="4">
        <f>IF($C16=0,"",SUMIFS(Tbl_Contributions[نسبة الإدارة الخاصة به], Tbl_Contributions[اسم المشروع], $B16, Tbl_Contributions[اسم المساهم], $D$5))</f>
        <v>0.2</v>
      </c>
      <c r="F16" s="3">
        <f>IF($C16=0,"",SUMIFS(Tbl_Contributions[حصة الربح قبل الإدارة], Tbl_Contributions[اسم المشروع], $B16, Tbl_Contributions[اسم المساهم], $D$5))</f>
        <v>-95508.943333334289</v>
      </c>
      <c r="G16" s="3">
        <f>IF($C16=0,"",SUMIFS(Tbl_Contributions[نصيب الإدارة], Tbl_Contributions[اسم المشروع], $B16, Tbl_Contributions[اسم المساهم], $D$5))</f>
        <v>0</v>
      </c>
      <c r="H16" s="3">
        <f>IF($C16=0,"",SUMIFS(Tbl_Contributions[صافي ربح المساهم], Tbl_Contributions[اسم المشروع], $B16, Tbl_Contributions[اسم المساهم], $D$5))</f>
        <v>-95508.943333334289</v>
      </c>
      <c r="I16" s="3">
        <f>IF($C16=0,"",SUMIFS(Tbl_Contributions[إجمالي المستحق للمساهم], Tbl_Contributions[اسم المشروع], $B16, Tbl_Contributions[اسم المساهم], $D$5))</f>
        <v>0</v>
      </c>
      <c r="J16" s="3">
        <f>IF($C16=0,"",SUMIFS(Tbl_Contributions[المسحوبات (تتضمن رد رأس المال والأرباح)], Tbl_Contributions[اسم المشروع], $B16, Tbl_Contributions[اسم المساهم], $D$5))</f>
        <v>0</v>
      </c>
      <c r="K16" s="3">
        <f t="shared" si="0"/>
        <v>0</v>
      </c>
    </row>
    <row r="17" spans="2:11" x14ac:dyDescent="0.25">
      <c r="B17" s="3">
        <f>IFERROR(INDEX(Tbl_Projects[اسم المشروع], 6), "")</f>
        <v>0</v>
      </c>
      <c r="C17" s="3">
        <f>IF($B17="","",SUMIFS(Tbl_Contributions[رأس مال المساهم], Tbl_Contributions[اسم المشروع], $B17, Tbl_Contributions[اسم المساهم], $D$5))</f>
        <v>0</v>
      </c>
      <c r="D17" s="4" t="str">
        <f>IF($C17=0,"",$C17/SUMIFS(Tbl_Contributions[رأس مال المساهم], Tbl_Contributions[اسم المشروع], $B17))</f>
        <v/>
      </c>
      <c r="E17" s="4" t="str">
        <f>IF($C17=0,"",SUMIFS(Tbl_Contributions[نسبة الإدارة الخاصة به], Tbl_Contributions[اسم المشروع], $B17, Tbl_Contributions[اسم المساهم], $D$5))</f>
        <v/>
      </c>
      <c r="F17" s="3" t="str">
        <f>IF($C17=0,"",SUMIFS(Tbl_Contributions[حصة الربح قبل الإدارة], Tbl_Contributions[اسم المشروع], $B17, Tbl_Contributions[اسم المساهم], $D$5))</f>
        <v/>
      </c>
      <c r="G17" s="3" t="str">
        <f>IF($C17=0,"",SUMIFS(Tbl_Contributions[نصيب الإدارة], Tbl_Contributions[اسم المشروع], $B17, Tbl_Contributions[اسم المساهم], $D$5))</f>
        <v/>
      </c>
      <c r="H17" s="3" t="str">
        <f>IF($C17=0,"",SUMIFS(Tbl_Contributions[صافي ربح المساهم], Tbl_Contributions[اسم المشروع], $B17, Tbl_Contributions[اسم المساهم], $D$5))</f>
        <v/>
      </c>
      <c r="I17" s="3" t="str">
        <f>IF($C17=0,"",SUMIFS(Tbl_Contributions[إجمالي المستحق للمساهم], Tbl_Contributions[اسم المشروع], $B17, Tbl_Contributions[اسم المساهم], $D$5))</f>
        <v/>
      </c>
      <c r="J17" s="3" t="str">
        <f>IF($C17=0,"",SUMIFS(Tbl_Contributions[المسحوبات (تتضمن رد رأس المال والأرباح)], Tbl_Contributions[اسم المشروع], $B17, Tbl_Contributions[اسم المساهم], $D$5))</f>
        <v/>
      </c>
      <c r="K17" s="3" t="str">
        <f t="shared" si="0"/>
        <v/>
      </c>
    </row>
    <row r="18" spans="2:11" x14ac:dyDescent="0.25">
      <c r="B18" s="3" t="str">
        <f>IFERROR(INDEX(Tbl_Projects[اسم المشروع], 7), "")</f>
        <v/>
      </c>
      <c r="C18" s="3" t="str">
        <f>IF($B18="","",SUMIFS(Tbl_Contributions[رأس مال المساهم], Tbl_Contributions[اسم المشروع], $B18, Tbl_Contributions[اسم المساهم], $D$5))</f>
        <v/>
      </c>
      <c r="D18" s="4" t="e">
        <f>IF($C18=0,"",$C18/SUMIFS(Tbl_Contributions[رأس مال المساهم], Tbl_Contributions[اسم المشروع], $B18))</f>
        <v>#VALUE!</v>
      </c>
      <c r="E18" s="4">
        <f>IF($C18=0,"",SUMIFS(Tbl_Contributions[نسبة الإدارة الخاصة به], Tbl_Contributions[اسم المشروع], $B18, Tbl_Contributions[اسم المساهم], $D$5))</f>
        <v>0</v>
      </c>
      <c r="F18" s="3">
        <f>IF($C18=0,"",SUMIFS(Tbl_Contributions[حصة الربح قبل الإدارة], Tbl_Contributions[اسم المشروع], $B18, Tbl_Contributions[اسم المساهم], $D$5))</f>
        <v>0</v>
      </c>
      <c r="G18" s="3">
        <f>IF($C18=0,"",SUMIFS(Tbl_Contributions[نصيب الإدارة], Tbl_Contributions[اسم المشروع], $B18, Tbl_Contributions[اسم المساهم], $D$5))</f>
        <v>0</v>
      </c>
      <c r="H18" s="3">
        <f>IF($C18=0,"",SUMIFS(Tbl_Contributions[صافي ربح المساهم], Tbl_Contributions[اسم المشروع], $B18, Tbl_Contributions[اسم المساهم], $D$5))</f>
        <v>0</v>
      </c>
      <c r="I18" s="3">
        <f>IF($C18=0,"",SUMIFS(Tbl_Contributions[إجمالي المستحق للمساهم], Tbl_Contributions[اسم المشروع], $B18, Tbl_Contributions[اسم المساهم], $D$5))</f>
        <v>0</v>
      </c>
      <c r="J18" s="3">
        <f>IF($C18=0,"",SUMIFS(Tbl_Contributions[المسحوبات (تتضمن رد رأس المال والأرباح)], Tbl_Contributions[اسم المشروع], $B18, Tbl_Contributions[اسم المساهم], $D$5))</f>
        <v>0</v>
      </c>
      <c r="K18" s="3">
        <f t="shared" si="0"/>
        <v>0</v>
      </c>
    </row>
    <row r="19" spans="2:11" x14ac:dyDescent="0.25">
      <c r="B19" s="3" t="str">
        <f>IFERROR(INDEX(Tbl_Projects[اسم المشروع], 8), "")</f>
        <v/>
      </c>
      <c r="C19" s="3" t="str">
        <f>IF($B19="","",SUMIFS(Tbl_Contributions[رأس مال المساهم], Tbl_Contributions[اسم المشروع], $B19, Tbl_Contributions[اسم المساهم], $D$5))</f>
        <v/>
      </c>
      <c r="D19" s="4" t="e">
        <f>IF($C19=0,"",$C19/SUMIFS(Tbl_Contributions[رأس مال المساهم], Tbl_Contributions[اسم المشروع], $B19))</f>
        <v>#VALUE!</v>
      </c>
      <c r="E19" s="4">
        <f>IF($C19=0,"",SUMIFS(Tbl_Contributions[نسبة الإدارة الخاصة به], Tbl_Contributions[اسم المشروع], $B19, Tbl_Contributions[اسم المساهم], $D$5))</f>
        <v>0</v>
      </c>
      <c r="F19" s="3">
        <f>IF($C19=0,"",SUMIFS(Tbl_Contributions[حصة الربح قبل الإدارة], Tbl_Contributions[اسم المشروع], $B19, Tbl_Contributions[اسم المساهم], $D$5))</f>
        <v>0</v>
      </c>
      <c r="G19" s="3">
        <f>IF($C19=0,"",SUMIFS(Tbl_Contributions[نصيب الإدارة], Tbl_Contributions[اسم المشروع], $B19, Tbl_Contributions[اسم المساهم], $D$5))</f>
        <v>0</v>
      </c>
      <c r="H19" s="3">
        <f>IF($C19=0,"",SUMIFS(Tbl_Contributions[صافي ربح المساهم], Tbl_Contributions[اسم المشروع], $B19, Tbl_Contributions[اسم المساهم], $D$5))</f>
        <v>0</v>
      </c>
      <c r="I19" s="3">
        <f>IF($C19=0,"",SUMIFS(Tbl_Contributions[إجمالي المستحق للمساهم], Tbl_Contributions[اسم المشروع], $B19, Tbl_Contributions[اسم المساهم], $D$5))</f>
        <v>0</v>
      </c>
      <c r="J19" s="3">
        <f>IF($C19=0,"",SUMIFS(Tbl_Contributions[المسحوبات (تتضمن رد رأس المال والأرباح)], Tbl_Contributions[اسم المشروع], $B19, Tbl_Contributions[اسم المساهم], $D$5))</f>
        <v>0</v>
      </c>
      <c r="K19" s="3">
        <f t="shared" si="0"/>
        <v>0</v>
      </c>
    </row>
    <row r="20" spans="2:11" x14ac:dyDescent="0.25">
      <c r="B20" s="3" t="str">
        <f>IFERROR(INDEX(Tbl_Projects[اسم المشروع], 9), "")</f>
        <v/>
      </c>
      <c r="C20" s="3" t="str">
        <f>IF($B20="","",SUMIFS(Tbl_Contributions[رأس مال المساهم], Tbl_Contributions[اسم المشروع], $B20, Tbl_Contributions[اسم المساهم], $D$5))</f>
        <v/>
      </c>
      <c r="D20" s="4" t="e">
        <f>IF($C20=0,"",$C20/SUMIFS(Tbl_Contributions[رأس مال المساهم], Tbl_Contributions[اسم المشروع], $B20))</f>
        <v>#VALUE!</v>
      </c>
      <c r="E20" s="4">
        <f>IF($C20=0,"",SUMIFS(Tbl_Contributions[نسبة الإدارة الخاصة به], Tbl_Contributions[اسم المشروع], $B20, Tbl_Contributions[اسم المساهم], $D$5))</f>
        <v>0</v>
      </c>
      <c r="F20" s="3">
        <f>IF($C20=0,"",SUMIFS(Tbl_Contributions[حصة الربح قبل الإدارة], Tbl_Contributions[اسم المشروع], $B20, Tbl_Contributions[اسم المساهم], $D$5))</f>
        <v>0</v>
      </c>
      <c r="G20" s="3">
        <f>IF($C20=0,"",SUMIFS(Tbl_Contributions[نصيب الإدارة], Tbl_Contributions[اسم المشروع], $B20, Tbl_Contributions[اسم المساهم], $D$5))</f>
        <v>0</v>
      </c>
      <c r="H20" s="3">
        <f>IF($C20=0,"",SUMIFS(Tbl_Contributions[صافي ربح المساهم], Tbl_Contributions[اسم المشروع], $B20, Tbl_Contributions[اسم المساهم], $D$5))</f>
        <v>0</v>
      </c>
      <c r="I20" s="3">
        <f>IF($C20=0,"",SUMIFS(Tbl_Contributions[إجمالي المستحق للمساهم], Tbl_Contributions[اسم المشروع], $B20, Tbl_Contributions[اسم المساهم], $D$5))</f>
        <v>0</v>
      </c>
      <c r="J20" s="3">
        <f>IF($C20=0,"",SUMIFS(Tbl_Contributions[المسحوبات (تتضمن رد رأس المال والأرباح)], Tbl_Contributions[اسم المشروع], $B20, Tbl_Contributions[اسم المساهم], $D$5))</f>
        <v>0</v>
      </c>
      <c r="K20" s="3">
        <f t="shared" si="0"/>
        <v>0</v>
      </c>
    </row>
    <row r="21" spans="2:11" x14ac:dyDescent="0.25">
      <c r="B21" s="3" t="str">
        <f>IFERROR(INDEX(Tbl_Projects[اسم المشروع], 10), "")</f>
        <v/>
      </c>
      <c r="C21" s="3" t="str">
        <f>IF($B21="","",SUMIFS(Tbl_Contributions[رأس مال المساهم], Tbl_Contributions[اسم المشروع], $B21, Tbl_Contributions[اسم المساهم], $D$5))</f>
        <v/>
      </c>
      <c r="D21" s="4" t="e">
        <f>IF($C21=0,"",$C21/SUMIFS(Tbl_Contributions[رأس مال المساهم], Tbl_Contributions[اسم المشروع], $B21))</f>
        <v>#VALUE!</v>
      </c>
      <c r="E21" s="4">
        <f>IF($C21=0,"",SUMIFS(Tbl_Contributions[نسبة الإدارة الخاصة به], Tbl_Contributions[اسم المشروع], $B21, Tbl_Contributions[اسم المساهم], $D$5))</f>
        <v>0</v>
      </c>
      <c r="F21" s="3">
        <f>IF($C21=0,"",SUMIFS(Tbl_Contributions[حصة الربح قبل الإدارة], Tbl_Contributions[اسم المشروع], $B21, Tbl_Contributions[اسم المساهم], $D$5))</f>
        <v>0</v>
      </c>
      <c r="G21" s="3">
        <f>IF($C21=0,"",SUMIFS(Tbl_Contributions[نصيب الإدارة], Tbl_Contributions[اسم المشروع], $B21, Tbl_Contributions[اسم المساهم], $D$5))</f>
        <v>0</v>
      </c>
      <c r="H21" s="3">
        <f>IF($C21=0,"",SUMIFS(Tbl_Contributions[صافي ربح المساهم], Tbl_Contributions[اسم المشروع], $B21, Tbl_Contributions[اسم المساهم], $D$5))</f>
        <v>0</v>
      </c>
      <c r="I21" s="3">
        <f>IF($C21=0,"",SUMIFS(Tbl_Contributions[إجمالي المستحق للمساهم], Tbl_Contributions[اسم المشروع], $B21, Tbl_Contributions[اسم المساهم], $D$5))</f>
        <v>0</v>
      </c>
      <c r="J21" s="3">
        <f>IF($C21=0,"",SUMIFS(Tbl_Contributions[المسحوبات (تتضمن رد رأس المال والأرباح)], Tbl_Contributions[اسم المشروع], $B21, Tbl_Contributions[اسم المساهم], $D$5))</f>
        <v>0</v>
      </c>
      <c r="K21" s="3">
        <f t="shared" si="0"/>
        <v>0</v>
      </c>
    </row>
    <row r="22" spans="2:11" x14ac:dyDescent="0.25">
      <c r="B22" s="3" t="str">
        <f>IFERROR(INDEX(Tbl_Projects[اسم المشروع], 11), "")</f>
        <v/>
      </c>
      <c r="C22" s="3" t="str">
        <f>IF($B22="","",SUMIFS(Tbl_Contributions[رأس مال المساهم], Tbl_Contributions[اسم المشروع], $B22, Tbl_Contributions[اسم المساهم], $D$5))</f>
        <v/>
      </c>
      <c r="D22" s="4" t="e">
        <f>IF($C22=0,"",$C22/SUMIFS(Tbl_Contributions[رأس مال المساهم], Tbl_Contributions[اسم المشروع], $B22))</f>
        <v>#VALUE!</v>
      </c>
      <c r="E22" s="4">
        <f>IF($C22=0,"",SUMIFS(Tbl_Contributions[نسبة الإدارة الخاصة به], Tbl_Contributions[اسم المشروع], $B22, Tbl_Contributions[اسم المساهم], $D$5))</f>
        <v>0</v>
      </c>
      <c r="F22" s="3">
        <f>IF($C22=0,"",SUMIFS(Tbl_Contributions[حصة الربح قبل الإدارة], Tbl_Contributions[اسم المشروع], $B22, Tbl_Contributions[اسم المساهم], $D$5))</f>
        <v>0</v>
      </c>
      <c r="G22" s="3">
        <f>IF($C22=0,"",SUMIFS(Tbl_Contributions[نصيب الإدارة], Tbl_Contributions[اسم المشروع], $B22, Tbl_Contributions[اسم المساهم], $D$5))</f>
        <v>0</v>
      </c>
      <c r="H22" s="3">
        <f>IF($C22=0,"",SUMIFS(Tbl_Contributions[صافي ربح المساهم], Tbl_Contributions[اسم المشروع], $B22, Tbl_Contributions[اسم المساهم], $D$5))</f>
        <v>0</v>
      </c>
      <c r="I22" s="3">
        <f>IF($C22=0,"",SUMIFS(Tbl_Contributions[إجمالي المستحق للمساهم], Tbl_Contributions[اسم المشروع], $B22, Tbl_Contributions[اسم المساهم], $D$5))</f>
        <v>0</v>
      </c>
      <c r="J22" s="3">
        <f>IF($C22=0,"",SUMIFS(Tbl_Contributions[المسحوبات (تتضمن رد رأس المال والأرباح)], Tbl_Contributions[اسم المشروع], $B22, Tbl_Contributions[اسم المساهم], $D$5))</f>
        <v>0</v>
      </c>
      <c r="K22" s="3">
        <f t="shared" si="0"/>
        <v>0</v>
      </c>
    </row>
    <row r="23" spans="2:11" x14ac:dyDescent="0.25">
      <c r="B23" s="3" t="str">
        <f>IFERROR(INDEX(Tbl_Projects[اسم المشروع], 12), "")</f>
        <v/>
      </c>
      <c r="C23" s="3" t="str">
        <f>IF($B23="","",SUMIFS(Tbl_Contributions[رأس مال المساهم], Tbl_Contributions[اسم المشروع], $B23, Tbl_Contributions[اسم المساهم], $D$5))</f>
        <v/>
      </c>
      <c r="D23" s="4" t="e">
        <f>IF($C23=0,"",$C23/SUMIFS(Tbl_Contributions[رأس مال المساهم], Tbl_Contributions[اسم المشروع], $B23))</f>
        <v>#VALUE!</v>
      </c>
      <c r="E23" s="4">
        <f>IF($C23=0,"",SUMIFS(Tbl_Contributions[نسبة الإدارة الخاصة به], Tbl_Contributions[اسم المشروع], $B23, Tbl_Contributions[اسم المساهم], $D$5))</f>
        <v>0</v>
      </c>
      <c r="F23" s="3">
        <f>IF($C23=0,"",SUMIFS(Tbl_Contributions[حصة الربح قبل الإدارة], Tbl_Contributions[اسم المشروع], $B23, Tbl_Contributions[اسم المساهم], $D$5))</f>
        <v>0</v>
      </c>
      <c r="G23" s="3">
        <f>IF($C23=0,"",SUMIFS(Tbl_Contributions[نصيب الإدارة], Tbl_Contributions[اسم المشروع], $B23, Tbl_Contributions[اسم المساهم], $D$5))</f>
        <v>0</v>
      </c>
      <c r="H23" s="3">
        <f>IF($C23=0,"",SUMIFS(Tbl_Contributions[صافي ربح المساهم], Tbl_Contributions[اسم المشروع], $B23, Tbl_Contributions[اسم المساهم], $D$5))</f>
        <v>0</v>
      </c>
      <c r="I23" s="3">
        <f>IF($C23=0,"",SUMIFS(Tbl_Contributions[إجمالي المستحق للمساهم], Tbl_Contributions[اسم المشروع], $B23, Tbl_Contributions[اسم المساهم], $D$5))</f>
        <v>0</v>
      </c>
      <c r="J23" s="3">
        <f>IF($C23=0,"",SUMIFS(Tbl_Contributions[المسحوبات (تتضمن رد رأس المال والأرباح)], Tbl_Contributions[اسم المشروع], $B23, Tbl_Contributions[اسم المساهم], $D$5))</f>
        <v>0</v>
      </c>
      <c r="K23" s="3">
        <f t="shared" si="0"/>
        <v>0</v>
      </c>
    </row>
    <row r="24" spans="2:11" x14ac:dyDescent="0.25">
      <c r="B24" s="3" t="str">
        <f>IFERROR(INDEX(Tbl_Projects[اسم المشروع], 13), "")</f>
        <v/>
      </c>
      <c r="C24" s="3" t="str">
        <f>IF($B24="","",SUMIFS(Tbl_Contributions[رأس مال المساهم], Tbl_Contributions[اسم المشروع], $B24, Tbl_Contributions[اسم المساهم], $D$5))</f>
        <v/>
      </c>
      <c r="D24" s="4" t="e">
        <f>IF($C24=0,"",$C24/SUMIFS(Tbl_Contributions[رأس مال المساهم], Tbl_Contributions[اسم المشروع], $B24))</f>
        <v>#VALUE!</v>
      </c>
      <c r="E24" s="4">
        <f>IF($C24=0,"",SUMIFS(Tbl_Contributions[نسبة الإدارة الخاصة به], Tbl_Contributions[اسم المشروع], $B24, Tbl_Contributions[اسم المساهم], $D$5))</f>
        <v>0</v>
      </c>
      <c r="F24" s="3">
        <f>IF($C24=0,"",SUMIFS(Tbl_Contributions[حصة الربح قبل الإدارة], Tbl_Contributions[اسم المشروع], $B24, Tbl_Contributions[اسم المساهم], $D$5))</f>
        <v>0</v>
      </c>
      <c r="G24" s="3">
        <f>IF($C24=0,"",SUMIFS(Tbl_Contributions[نصيب الإدارة], Tbl_Contributions[اسم المشروع], $B24, Tbl_Contributions[اسم المساهم], $D$5))</f>
        <v>0</v>
      </c>
      <c r="H24" s="3">
        <f>IF($C24=0,"",SUMIFS(Tbl_Contributions[صافي ربح المساهم], Tbl_Contributions[اسم المشروع], $B24, Tbl_Contributions[اسم المساهم], $D$5))</f>
        <v>0</v>
      </c>
      <c r="I24" s="3">
        <f>IF($C24=0,"",SUMIFS(Tbl_Contributions[إجمالي المستحق للمساهم], Tbl_Contributions[اسم المشروع], $B24, Tbl_Contributions[اسم المساهم], $D$5))</f>
        <v>0</v>
      </c>
      <c r="J24" s="3">
        <f>IF($C24=0,"",SUMIFS(Tbl_Contributions[المسحوبات (تتضمن رد رأس المال والأرباح)], Tbl_Contributions[اسم المشروع], $B24, Tbl_Contributions[اسم المساهم], $D$5))</f>
        <v>0</v>
      </c>
      <c r="K24" s="3">
        <f t="shared" si="0"/>
        <v>0</v>
      </c>
    </row>
    <row r="25" spans="2:11" x14ac:dyDescent="0.25">
      <c r="B25" s="3" t="str">
        <f>IFERROR(INDEX(Tbl_Projects[اسم المشروع], 14), "")</f>
        <v/>
      </c>
      <c r="C25" s="3" t="str">
        <f>IF($B25="","",SUMIFS(Tbl_Contributions[رأس مال المساهم], Tbl_Contributions[اسم المشروع], $B25, Tbl_Contributions[اسم المساهم], $D$5))</f>
        <v/>
      </c>
      <c r="D25" s="4" t="e">
        <f>IF($C25=0,"",$C25/SUMIFS(Tbl_Contributions[رأس مال المساهم], Tbl_Contributions[اسم المشروع], $B25))</f>
        <v>#VALUE!</v>
      </c>
      <c r="E25" s="4">
        <f>IF($C25=0,"",SUMIFS(Tbl_Contributions[نسبة الإدارة الخاصة به], Tbl_Contributions[اسم المشروع], $B25, Tbl_Contributions[اسم المساهم], $D$5))</f>
        <v>0</v>
      </c>
      <c r="F25" s="3">
        <f>IF($C25=0,"",SUMIFS(Tbl_Contributions[حصة الربح قبل الإدارة], Tbl_Contributions[اسم المشروع], $B25, Tbl_Contributions[اسم المساهم], $D$5))</f>
        <v>0</v>
      </c>
      <c r="G25" s="3">
        <f>IF($C25=0,"",SUMIFS(Tbl_Contributions[نصيب الإدارة], Tbl_Contributions[اسم المشروع], $B25, Tbl_Contributions[اسم المساهم], $D$5))</f>
        <v>0</v>
      </c>
      <c r="H25" s="3">
        <f>IF($C25=0,"",SUMIFS(Tbl_Contributions[صافي ربح المساهم], Tbl_Contributions[اسم المشروع], $B25, Tbl_Contributions[اسم المساهم], $D$5))</f>
        <v>0</v>
      </c>
      <c r="I25" s="3">
        <f>IF($C25=0,"",SUMIFS(Tbl_Contributions[إجمالي المستحق للمساهم], Tbl_Contributions[اسم المشروع], $B25, Tbl_Contributions[اسم المساهم], $D$5))</f>
        <v>0</v>
      </c>
      <c r="J25" s="3">
        <f>IF($C25=0,"",SUMIFS(Tbl_Contributions[المسحوبات (تتضمن رد رأس المال والأرباح)], Tbl_Contributions[اسم المشروع], $B25, Tbl_Contributions[اسم المساهم], $D$5))</f>
        <v>0</v>
      </c>
      <c r="K25" s="3">
        <f t="shared" si="0"/>
        <v>0</v>
      </c>
    </row>
    <row r="26" spans="2:11" x14ac:dyDescent="0.25">
      <c r="B26" s="3" t="str">
        <f>IFERROR(INDEX(Tbl_Projects[اسم المشروع], 15), "")</f>
        <v/>
      </c>
      <c r="C26" s="3" t="str">
        <f>IF($B26="","",SUMIFS(Tbl_Contributions[رأس مال المساهم], Tbl_Contributions[اسم المشروع], $B26, Tbl_Contributions[اسم المساهم], $D$5))</f>
        <v/>
      </c>
      <c r="D26" s="4" t="e">
        <f>IF($C26=0,"",$C26/SUMIFS(Tbl_Contributions[رأس مال المساهم], Tbl_Contributions[اسم المشروع], $B26))</f>
        <v>#VALUE!</v>
      </c>
      <c r="E26" s="4">
        <f>IF($C26=0,"",SUMIFS(Tbl_Contributions[نسبة الإدارة الخاصة به], Tbl_Contributions[اسم المشروع], $B26, Tbl_Contributions[اسم المساهم], $D$5))</f>
        <v>0</v>
      </c>
      <c r="F26" s="3">
        <f>IF($C26=0,"",SUMIFS(Tbl_Contributions[حصة الربح قبل الإدارة], Tbl_Contributions[اسم المشروع], $B26, Tbl_Contributions[اسم المساهم], $D$5))</f>
        <v>0</v>
      </c>
      <c r="G26" s="3">
        <f>IF($C26=0,"",SUMIFS(Tbl_Contributions[نصيب الإدارة], Tbl_Contributions[اسم المشروع], $B26, Tbl_Contributions[اسم المساهم], $D$5))</f>
        <v>0</v>
      </c>
      <c r="H26" s="3">
        <f>IF($C26=0,"",SUMIFS(Tbl_Contributions[صافي ربح المساهم], Tbl_Contributions[اسم المشروع], $B26, Tbl_Contributions[اسم المساهم], $D$5))</f>
        <v>0</v>
      </c>
      <c r="I26" s="3">
        <f>IF($C26=0,"",SUMIFS(Tbl_Contributions[إجمالي المستحق للمساهم], Tbl_Contributions[اسم المشروع], $B26, Tbl_Contributions[اسم المساهم], $D$5))</f>
        <v>0</v>
      </c>
      <c r="J26" s="3">
        <f>IF($C26=0,"",SUMIFS(Tbl_Contributions[المسحوبات (تتضمن رد رأس المال والأرباح)], Tbl_Contributions[اسم المشروع], $B26, Tbl_Contributions[اسم المساهم], $D$5))</f>
        <v>0</v>
      </c>
      <c r="K26" s="3">
        <f t="shared" si="0"/>
        <v>0</v>
      </c>
    </row>
    <row r="27" spans="2:11" x14ac:dyDescent="0.25">
      <c r="B27" s="3" t="str">
        <f>IFERROR(INDEX(Tbl_Projects[اسم المشروع], 16), "")</f>
        <v/>
      </c>
      <c r="C27" s="3" t="str">
        <f>IF($B27="","",SUMIFS(Tbl_Contributions[رأس مال المساهم], Tbl_Contributions[اسم المشروع], $B27, Tbl_Contributions[اسم المساهم], $D$5))</f>
        <v/>
      </c>
      <c r="D27" s="4" t="e">
        <f>IF($C27=0,"",$C27/SUMIFS(Tbl_Contributions[رأس مال المساهم], Tbl_Contributions[اسم المشروع], $B27))</f>
        <v>#VALUE!</v>
      </c>
      <c r="E27" s="4">
        <f>IF($C27=0,"",SUMIFS(Tbl_Contributions[نسبة الإدارة الخاصة به], Tbl_Contributions[اسم المشروع], $B27, Tbl_Contributions[اسم المساهم], $D$5))</f>
        <v>0</v>
      </c>
      <c r="F27" s="3">
        <f>IF($C27=0,"",SUMIFS(Tbl_Contributions[حصة الربح قبل الإدارة], Tbl_Contributions[اسم المشروع], $B27, Tbl_Contributions[اسم المساهم], $D$5))</f>
        <v>0</v>
      </c>
      <c r="G27" s="3">
        <f>IF($C27=0,"",SUMIFS(Tbl_Contributions[نصيب الإدارة], Tbl_Contributions[اسم المشروع], $B27, Tbl_Contributions[اسم المساهم], $D$5))</f>
        <v>0</v>
      </c>
      <c r="H27" s="3">
        <f>IF($C27=0,"",SUMIFS(Tbl_Contributions[صافي ربح المساهم], Tbl_Contributions[اسم المشروع], $B27, Tbl_Contributions[اسم المساهم], $D$5))</f>
        <v>0</v>
      </c>
      <c r="I27" s="3">
        <f>IF($C27=0,"",SUMIFS(Tbl_Contributions[إجمالي المستحق للمساهم], Tbl_Contributions[اسم المشروع], $B27, Tbl_Contributions[اسم المساهم], $D$5))</f>
        <v>0</v>
      </c>
      <c r="J27" s="3">
        <f>IF($C27=0,"",SUMIFS(Tbl_Contributions[المسحوبات (تتضمن رد رأس المال والأرباح)], Tbl_Contributions[اسم المشروع], $B27, Tbl_Contributions[اسم المساهم], $D$5))</f>
        <v>0</v>
      </c>
      <c r="K27" s="3">
        <f t="shared" si="0"/>
        <v>0</v>
      </c>
    </row>
    <row r="28" spans="2:11" x14ac:dyDescent="0.25">
      <c r="B28" s="3" t="str">
        <f>IFERROR(INDEX(Tbl_Projects[اسم المشروع], 17), "")</f>
        <v/>
      </c>
      <c r="C28" s="3" t="str">
        <f>IF($B28="","",SUMIFS(Tbl_Contributions[رأس مال المساهم], Tbl_Contributions[اسم المشروع], $B28, Tbl_Contributions[اسم المساهم], $D$5))</f>
        <v/>
      </c>
      <c r="D28" s="4" t="e">
        <f>IF($C28=0,"",$C28/SUMIFS(Tbl_Contributions[رأس مال المساهم], Tbl_Contributions[اسم المشروع], $B28))</f>
        <v>#VALUE!</v>
      </c>
      <c r="E28" s="4">
        <f>IF($C28=0,"",SUMIFS(Tbl_Contributions[نسبة الإدارة الخاصة به], Tbl_Contributions[اسم المشروع], $B28, Tbl_Contributions[اسم المساهم], $D$5))</f>
        <v>0</v>
      </c>
      <c r="F28" s="3">
        <f>IF($C28=0,"",SUMIFS(Tbl_Contributions[حصة الربح قبل الإدارة], Tbl_Contributions[اسم المشروع], $B28, Tbl_Contributions[اسم المساهم], $D$5))</f>
        <v>0</v>
      </c>
      <c r="G28" s="3">
        <f>IF($C28=0,"",SUMIFS(Tbl_Contributions[نصيب الإدارة], Tbl_Contributions[اسم المشروع], $B28, Tbl_Contributions[اسم المساهم], $D$5))</f>
        <v>0</v>
      </c>
      <c r="H28" s="3">
        <f>IF($C28=0,"",SUMIFS(Tbl_Contributions[صافي ربح المساهم], Tbl_Contributions[اسم المشروع], $B28, Tbl_Contributions[اسم المساهم], $D$5))</f>
        <v>0</v>
      </c>
      <c r="I28" s="3">
        <f>IF($C28=0,"",SUMIFS(Tbl_Contributions[إجمالي المستحق للمساهم], Tbl_Contributions[اسم المشروع], $B28, Tbl_Contributions[اسم المساهم], $D$5))</f>
        <v>0</v>
      </c>
      <c r="J28" s="3">
        <f>IF($C28=0,"",SUMIFS(Tbl_Contributions[المسحوبات (تتضمن رد رأس المال والأرباح)], Tbl_Contributions[اسم المشروع], $B28, Tbl_Contributions[اسم المساهم], $D$5))</f>
        <v>0</v>
      </c>
      <c r="K28" s="3">
        <f t="shared" si="0"/>
        <v>0</v>
      </c>
    </row>
    <row r="29" spans="2:11" x14ac:dyDescent="0.25">
      <c r="B29" s="3" t="str">
        <f>IFERROR(INDEX(Tbl_Projects[اسم المشروع], 18), "")</f>
        <v/>
      </c>
      <c r="C29" s="3" t="str">
        <f>IF($B29="","",SUMIFS(Tbl_Contributions[رأس مال المساهم], Tbl_Contributions[اسم المشروع], $B29, Tbl_Contributions[اسم المساهم], $D$5))</f>
        <v/>
      </c>
      <c r="D29" s="4" t="e">
        <f>IF($C29=0,"",$C29/SUMIFS(Tbl_Contributions[رأس مال المساهم], Tbl_Contributions[اسم المشروع], $B29))</f>
        <v>#VALUE!</v>
      </c>
      <c r="E29" s="4">
        <f>IF($C29=0,"",SUMIFS(Tbl_Contributions[نسبة الإدارة الخاصة به], Tbl_Contributions[اسم المشروع], $B29, Tbl_Contributions[اسم المساهم], $D$5))</f>
        <v>0</v>
      </c>
      <c r="F29" s="3">
        <f>IF($C29=0,"",SUMIFS(Tbl_Contributions[حصة الربح قبل الإدارة], Tbl_Contributions[اسم المشروع], $B29, Tbl_Contributions[اسم المساهم], $D$5))</f>
        <v>0</v>
      </c>
      <c r="G29" s="3">
        <f>IF($C29=0,"",SUMIFS(Tbl_Contributions[نصيب الإدارة], Tbl_Contributions[اسم المشروع], $B29, Tbl_Contributions[اسم المساهم], $D$5))</f>
        <v>0</v>
      </c>
      <c r="H29" s="3">
        <f>IF($C29=0,"",SUMIFS(Tbl_Contributions[صافي ربح المساهم], Tbl_Contributions[اسم المشروع], $B29, Tbl_Contributions[اسم المساهم], $D$5))</f>
        <v>0</v>
      </c>
      <c r="I29" s="3">
        <f>IF($C29=0,"",SUMIFS(Tbl_Contributions[إجمالي المستحق للمساهم], Tbl_Contributions[اسم المشروع], $B29, Tbl_Contributions[اسم المساهم], $D$5))</f>
        <v>0</v>
      </c>
      <c r="J29" s="3">
        <f>IF($C29=0,"",SUMIFS(Tbl_Contributions[المسحوبات (تتضمن رد رأس المال والأرباح)], Tbl_Contributions[اسم المشروع], $B29, Tbl_Contributions[اسم المساهم], $D$5))</f>
        <v>0</v>
      </c>
      <c r="K29" s="3">
        <f t="shared" si="0"/>
        <v>0</v>
      </c>
    </row>
    <row r="30" spans="2:11" x14ac:dyDescent="0.25">
      <c r="B30" s="3" t="str">
        <f>IFERROR(INDEX(Tbl_Projects[اسم المشروع], 19), "")</f>
        <v/>
      </c>
      <c r="C30" s="3" t="str">
        <f>IF($B30="","",SUMIFS(Tbl_Contributions[رأس مال المساهم], Tbl_Contributions[اسم المشروع], $B30, Tbl_Contributions[اسم المساهم], $D$5))</f>
        <v/>
      </c>
      <c r="D30" s="4" t="e">
        <f>IF($C30=0,"",$C30/SUMIFS(Tbl_Contributions[رأس مال المساهم], Tbl_Contributions[اسم المشروع], $B30))</f>
        <v>#VALUE!</v>
      </c>
      <c r="E30" s="4">
        <f>IF($C30=0,"",SUMIFS(Tbl_Contributions[نسبة الإدارة الخاصة به], Tbl_Contributions[اسم المشروع], $B30, Tbl_Contributions[اسم المساهم], $D$5))</f>
        <v>0</v>
      </c>
      <c r="F30" s="3">
        <f>IF($C30=0,"",SUMIFS(Tbl_Contributions[حصة الربح قبل الإدارة], Tbl_Contributions[اسم المشروع], $B30, Tbl_Contributions[اسم المساهم], $D$5))</f>
        <v>0</v>
      </c>
      <c r="G30" s="3">
        <f>IF($C30=0,"",SUMIFS(Tbl_Contributions[نصيب الإدارة], Tbl_Contributions[اسم المشروع], $B30, Tbl_Contributions[اسم المساهم], $D$5))</f>
        <v>0</v>
      </c>
      <c r="H30" s="3">
        <f>IF($C30=0,"",SUMIFS(Tbl_Contributions[صافي ربح المساهم], Tbl_Contributions[اسم المشروع], $B30, Tbl_Contributions[اسم المساهم], $D$5))</f>
        <v>0</v>
      </c>
      <c r="I30" s="3">
        <f>IF($C30=0,"",SUMIFS(Tbl_Contributions[إجمالي المستحق للمساهم], Tbl_Contributions[اسم المشروع], $B30, Tbl_Contributions[اسم المساهم], $D$5))</f>
        <v>0</v>
      </c>
      <c r="J30" s="3">
        <f>IF($C30=0,"",SUMIFS(Tbl_Contributions[المسحوبات (تتضمن رد رأس المال والأرباح)], Tbl_Contributions[اسم المشروع], $B30, Tbl_Contributions[اسم المساهم], $D$5))</f>
        <v>0</v>
      </c>
      <c r="K30" s="3">
        <f t="shared" si="0"/>
        <v>0</v>
      </c>
    </row>
    <row r="31" spans="2:11" x14ac:dyDescent="0.25">
      <c r="B31" s="3" t="str">
        <f>IFERROR(INDEX(Tbl_Projects[اسم المشروع], 20), "")</f>
        <v/>
      </c>
      <c r="C31" s="3" t="str">
        <f>IF($B31="","",SUMIFS(Tbl_Contributions[رأس مال المساهم], Tbl_Contributions[اسم المشروع], $B31, Tbl_Contributions[اسم المساهم], $D$5))</f>
        <v/>
      </c>
      <c r="D31" s="4" t="e">
        <f>IF($C31=0,"",$C31/SUMIFS(Tbl_Contributions[رأس مال المساهم], Tbl_Contributions[اسم المشروع], $B31))</f>
        <v>#VALUE!</v>
      </c>
      <c r="E31" s="4">
        <f>IF($C31=0,"",SUMIFS(Tbl_Contributions[نسبة الإدارة الخاصة به], Tbl_Contributions[اسم المشروع], $B31, Tbl_Contributions[اسم المساهم], $D$5))</f>
        <v>0</v>
      </c>
      <c r="F31" s="3">
        <f>IF($C31=0,"",SUMIFS(Tbl_Contributions[حصة الربح قبل الإدارة], Tbl_Contributions[اسم المشروع], $B31, Tbl_Contributions[اسم المساهم], $D$5))</f>
        <v>0</v>
      </c>
      <c r="G31" s="3">
        <f>IF($C31=0,"",SUMIFS(Tbl_Contributions[نصيب الإدارة], Tbl_Contributions[اسم المشروع], $B31, Tbl_Contributions[اسم المساهم], $D$5))</f>
        <v>0</v>
      </c>
      <c r="H31" s="3">
        <f>IF($C31=0,"",SUMIFS(Tbl_Contributions[صافي ربح المساهم], Tbl_Contributions[اسم المشروع], $B31, Tbl_Contributions[اسم المساهم], $D$5))</f>
        <v>0</v>
      </c>
      <c r="I31" s="3">
        <f>IF($C31=0,"",SUMIFS(Tbl_Contributions[إجمالي المستحق للمساهم], Tbl_Contributions[اسم المشروع], $B31, Tbl_Contributions[اسم المساهم], $D$5))</f>
        <v>0</v>
      </c>
      <c r="J31" s="3">
        <f>IF($C31=0,"",SUMIFS(Tbl_Contributions[المسحوبات (تتضمن رد رأس المال والأرباح)], Tbl_Contributions[اسم المشروع], $B31, Tbl_Contributions[اسم المساهم], $D$5))</f>
        <v>0</v>
      </c>
      <c r="K31" s="3">
        <f t="shared" si="0"/>
        <v>0</v>
      </c>
    </row>
    <row r="32" spans="2:11" x14ac:dyDescent="0.25">
      <c r="B32" s="3" t="str">
        <f>IFERROR(INDEX(Tbl_Projects[اسم المشروع], 21), "")</f>
        <v/>
      </c>
      <c r="C32" s="3" t="str">
        <f>IF($B32="","",SUMIFS(Tbl_Contributions[رأس مال المساهم], Tbl_Contributions[اسم المشروع], $B32, Tbl_Contributions[اسم المساهم], $D$5))</f>
        <v/>
      </c>
      <c r="D32" s="4" t="e">
        <f>IF($C32=0,"",$C32/SUMIFS(Tbl_Contributions[رأس مال المساهم], Tbl_Contributions[اسم المشروع], $B32))</f>
        <v>#VALUE!</v>
      </c>
      <c r="E32" s="4">
        <f>IF($C32=0,"",SUMIFS(Tbl_Contributions[نسبة الإدارة الخاصة به], Tbl_Contributions[اسم المشروع], $B32, Tbl_Contributions[اسم المساهم], $D$5))</f>
        <v>0</v>
      </c>
      <c r="F32" s="3">
        <f>IF($C32=0,"",SUMIFS(Tbl_Contributions[حصة الربح قبل الإدارة], Tbl_Contributions[اسم المشروع], $B32, Tbl_Contributions[اسم المساهم], $D$5))</f>
        <v>0</v>
      </c>
      <c r="G32" s="3">
        <f>IF($C32=0,"",SUMIFS(Tbl_Contributions[نصيب الإدارة], Tbl_Contributions[اسم المشروع], $B32, Tbl_Contributions[اسم المساهم], $D$5))</f>
        <v>0</v>
      </c>
      <c r="H32" s="3">
        <f>IF($C32=0,"",SUMIFS(Tbl_Contributions[صافي ربح المساهم], Tbl_Contributions[اسم المشروع], $B32, Tbl_Contributions[اسم المساهم], $D$5))</f>
        <v>0</v>
      </c>
      <c r="I32" s="3">
        <f>IF($C32=0,"",SUMIFS(Tbl_Contributions[إجمالي المستحق للمساهم], Tbl_Contributions[اسم المشروع], $B32, Tbl_Contributions[اسم المساهم], $D$5))</f>
        <v>0</v>
      </c>
      <c r="J32" s="3">
        <f>IF($C32=0,"",SUMIFS(Tbl_Contributions[المسحوبات (تتضمن رد رأس المال والأرباح)], Tbl_Contributions[اسم المشروع], $B32, Tbl_Contributions[اسم المساهم], $D$5))</f>
        <v>0</v>
      </c>
      <c r="K32" s="3">
        <f t="shared" si="0"/>
        <v>0</v>
      </c>
    </row>
    <row r="33" spans="2:11" x14ac:dyDescent="0.25">
      <c r="B33" s="3" t="str">
        <f>IFERROR(INDEX(Tbl_Projects[اسم المشروع], 22), "")</f>
        <v/>
      </c>
      <c r="C33" s="3" t="str">
        <f>IF($B33="","",SUMIFS(Tbl_Contributions[رأس مال المساهم], Tbl_Contributions[اسم المشروع], $B33, Tbl_Contributions[اسم المساهم], $D$5))</f>
        <v/>
      </c>
      <c r="D33" s="4" t="e">
        <f>IF($C33=0,"",$C33/SUMIFS(Tbl_Contributions[رأس مال المساهم], Tbl_Contributions[اسم المشروع], $B33))</f>
        <v>#VALUE!</v>
      </c>
      <c r="E33" s="4">
        <f>IF($C33=0,"",SUMIFS(Tbl_Contributions[نسبة الإدارة الخاصة به], Tbl_Contributions[اسم المشروع], $B33, Tbl_Contributions[اسم المساهم], $D$5))</f>
        <v>0</v>
      </c>
      <c r="F33" s="3">
        <f>IF($C33=0,"",SUMIFS(Tbl_Contributions[حصة الربح قبل الإدارة], Tbl_Contributions[اسم المشروع], $B33, Tbl_Contributions[اسم المساهم], $D$5))</f>
        <v>0</v>
      </c>
      <c r="G33" s="3">
        <f>IF($C33=0,"",SUMIFS(Tbl_Contributions[نصيب الإدارة], Tbl_Contributions[اسم المشروع], $B33, Tbl_Contributions[اسم المساهم], $D$5))</f>
        <v>0</v>
      </c>
      <c r="H33" s="3">
        <f>IF($C33=0,"",SUMIFS(Tbl_Contributions[صافي ربح المساهم], Tbl_Contributions[اسم المشروع], $B33, Tbl_Contributions[اسم المساهم], $D$5))</f>
        <v>0</v>
      </c>
      <c r="I33" s="3">
        <f>IF($C33=0,"",SUMIFS(Tbl_Contributions[إجمالي المستحق للمساهم], Tbl_Contributions[اسم المشروع], $B33, Tbl_Contributions[اسم المساهم], $D$5))</f>
        <v>0</v>
      </c>
      <c r="J33" s="3">
        <f>IF($C33=0,"",SUMIFS(Tbl_Contributions[المسحوبات (تتضمن رد رأس المال والأرباح)], Tbl_Contributions[اسم المشروع], $B33, Tbl_Contributions[اسم المساهم], $D$5))</f>
        <v>0</v>
      </c>
      <c r="K33" s="3">
        <f t="shared" si="0"/>
        <v>0</v>
      </c>
    </row>
    <row r="34" spans="2:11" x14ac:dyDescent="0.25">
      <c r="B34" s="3" t="str">
        <f>IFERROR(INDEX(Tbl_Projects[اسم المشروع], 23), "")</f>
        <v/>
      </c>
      <c r="C34" s="3" t="str">
        <f>IF($B34="","",SUMIFS(Tbl_Contributions[رأس مال المساهم], Tbl_Contributions[اسم المشروع], $B34, Tbl_Contributions[اسم المساهم], $D$5))</f>
        <v/>
      </c>
      <c r="D34" s="4" t="e">
        <f>IF($C34=0,"",$C34/SUMIFS(Tbl_Contributions[رأس مال المساهم], Tbl_Contributions[اسم المشروع], $B34))</f>
        <v>#VALUE!</v>
      </c>
      <c r="E34" s="4">
        <f>IF($C34=0,"",SUMIFS(Tbl_Contributions[نسبة الإدارة الخاصة به], Tbl_Contributions[اسم المشروع], $B34, Tbl_Contributions[اسم المساهم], $D$5))</f>
        <v>0</v>
      </c>
      <c r="F34" s="3">
        <f>IF($C34=0,"",SUMIFS(Tbl_Contributions[حصة الربح قبل الإدارة], Tbl_Contributions[اسم المشروع], $B34, Tbl_Contributions[اسم المساهم], $D$5))</f>
        <v>0</v>
      </c>
      <c r="G34" s="3">
        <f>IF($C34=0,"",SUMIFS(Tbl_Contributions[نصيب الإدارة], Tbl_Contributions[اسم المشروع], $B34, Tbl_Contributions[اسم المساهم], $D$5))</f>
        <v>0</v>
      </c>
      <c r="H34" s="3">
        <f>IF($C34=0,"",SUMIFS(Tbl_Contributions[صافي ربح المساهم], Tbl_Contributions[اسم المشروع], $B34, Tbl_Contributions[اسم المساهم], $D$5))</f>
        <v>0</v>
      </c>
      <c r="I34" s="3">
        <f>IF($C34=0,"",SUMIFS(Tbl_Contributions[إجمالي المستحق للمساهم], Tbl_Contributions[اسم المشروع], $B34, Tbl_Contributions[اسم المساهم], $D$5))</f>
        <v>0</v>
      </c>
      <c r="J34" s="3">
        <f>IF($C34=0,"",SUMIFS(Tbl_Contributions[المسحوبات (تتضمن رد رأس المال والأرباح)], Tbl_Contributions[اسم المشروع], $B34, Tbl_Contributions[اسم المساهم], $D$5))</f>
        <v>0</v>
      </c>
      <c r="K34" s="3">
        <f t="shared" si="0"/>
        <v>0</v>
      </c>
    </row>
    <row r="35" spans="2:11" x14ac:dyDescent="0.25">
      <c r="B35" s="3" t="str">
        <f>IFERROR(INDEX(Tbl_Projects[اسم المشروع], 24), "")</f>
        <v/>
      </c>
      <c r="C35" s="3" t="str">
        <f>IF($B35="","",SUMIFS(Tbl_Contributions[رأس مال المساهم], Tbl_Contributions[اسم المشروع], $B35, Tbl_Contributions[اسم المساهم], $D$5))</f>
        <v/>
      </c>
      <c r="D35" s="4" t="e">
        <f>IF($C35=0,"",$C35/SUMIFS(Tbl_Contributions[رأس مال المساهم], Tbl_Contributions[اسم المشروع], $B35))</f>
        <v>#VALUE!</v>
      </c>
      <c r="E35" s="4">
        <f>IF($C35=0,"",SUMIFS(Tbl_Contributions[نسبة الإدارة الخاصة به], Tbl_Contributions[اسم المشروع], $B35, Tbl_Contributions[اسم المساهم], $D$5))</f>
        <v>0</v>
      </c>
      <c r="F35" s="3">
        <f>IF($C35=0,"",SUMIFS(Tbl_Contributions[حصة الربح قبل الإدارة], Tbl_Contributions[اسم المشروع], $B35, Tbl_Contributions[اسم المساهم], $D$5))</f>
        <v>0</v>
      </c>
      <c r="G35" s="3">
        <f>IF($C35=0,"",SUMIFS(Tbl_Contributions[نصيب الإدارة], Tbl_Contributions[اسم المشروع], $B35, Tbl_Contributions[اسم المساهم], $D$5))</f>
        <v>0</v>
      </c>
      <c r="H35" s="3">
        <f>IF($C35=0,"",SUMIFS(Tbl_Contributions[صافي ربح المساهم], Tbl_Contributions[اسم المشروع], $B35, Tbl_Contributions[اسم المساهم], $D$5))</f>
        <v>0</v>
      </c>
      <c r="I35" s="3">
        <f>IF($C35=0,"",SUMIFS(Tbl_Contributions[إجمالي المستحق للمساهم], Tbl_Contributions[اسم المشروع], $B35, Tbl_Contributions[اسم المساهم], $D$5))</f>
        <v>0</v>
      </c>
      <c r="J35" s="3">
        <f>IF($C35=0,"",SUMIFS(Tbl_Contributions[المسحوبات (تتضمن رد رأس المال والأرباح)], Tbl_Contributions[اسم المشروع], $B35, Tbl_Contributions[اسم المساهم], $D$5))</f>
        <v>0</v>
      </c>
      <c r="K35" s="3">
        <f t="shared" si="0"/>
        <v>0</v>
      </c>
    </row>
    <row r="36" spans="2:11" x14ac:dyDescent="0.25">
      <c r="B36" s="3" t="str">
        <f>IFERROR(INDEX(Tbl_Projects[اسم المشروع], 25), "")</f>
        <v/>
      </c>
      <c r="C36" s="3" t="str">
        <f>IF($B36="","",SUMIFS(Tbl_Contributions[رأس مال المساهم], Tbl_Contributions[اسم المشروع], $B36, Tbl_Contributions[اسم المساهم], $D$5))</f>
        <v/>
      </c>
      <c r="D36" s="4" t="e">
        <f>IF($C36=0,"",$C36/SUMIFS(Tbl_Contributions[رأس مال المساهم], Tbl_Contributions[اسم المشروع], $B36))</f>
        <v>#VALUE!</v>
      </c>
      <c r="E36" s="4">
        <f>IF($C36=0,"",SUMIFS(Tbl_Contributions[نسبة الإدارة الخاصة به], Tbl_Contributions[اسم المشروع], $B36, Tbl_Contributions[اسم المساهم], $D$5))</f>
        <v>0</v>
      </c>
      <c r="F36" s="3">
        <f>IF($C36=0,"",SUMIFS(Tbl_Contributions[حصة الربح قبل الإدارة], Tbl_Contributions[اسم المشروع], $B36, Tbl_Contributions[اسم المساهم], $D$5))</f>
        <v>0</v>
      </c>
      <c r="G36" s="3">
        <f>IF($C36=0,"",SUMIFS(Tbl_Contributions[نصيب الإدارة], Tbl_Contributions[اسم المشروع], $B36, Tbl_Contributions[اسم المساهم], $D$5))</f>
        <v>0</v>
      </c>
      <c r="H36" s="3">
        <f>IF($C36=0,"",SUMIFS(Tbl_Contributions[صافي ربح المساهم], Tbl_Contributions[اسم المشروع], $B36, Tbl_Contributions[اسم المساهم], $D$5))</f>
        <v>0</v>
      </c>
      <c r="I36" s="3">
        <f>IF($C36=0,"",SUMIFS(Tbl_Contributions[إجمالي المستحق للمساهم], Tbl_Contributions[اسم المشروع], $B36, Tbl_Contributions[اسم المساهم], $D$5))</f>
        <v>0</v>
      </c>
      <c r="J36" s="3">
        <f>IF($C36=0,"",SUMIFS(Tbl_Contributions[المسحوبات (تتضمن رد رأس المال والأرباح)], Tbl_Contributions[اسم المشروع], $B36, Tbl_Contributions[اسم المساهم], $D$5))</f>
        <v>0</v>
      </c>
      <c r="K36" s="3">
        <f t="shared" si="0"/>
        <v>0</v>
      </c>
    </row>
    <row r="37" spans="2:11" x14ac:dyDescent="0.25">
      <c r="B37" s="3" t="str">
        <f>IFERROR(INDEX(Tbl_Projects[اسم المشروع], 26), "")</f>
        <v/>
      </c>
      <c r="C37" s="3" t="str">
        <f>IF($B37="","",SUMIFS(Tbl_Contributions[رأس مال المساهم], Tbl_Contributions[اسم المشروع], $B37, Tbl_Contributions[اسم المساهم], $D$5))</f>
        <v/>
      </c>
      <c r="D37" s="4" t="e">
        <f>IF($C37=0,"",$C37/SUMIFS(Tbl_Contributions[رأس مال المساهم], Tbl_Contributions[اسم المشروع], $B37))</f>
        <v>#VALUE!</v>
      </c>
      <c r="E37" s="4">
        <f>IF($C37=0,"",SUMIFS(Tbl_Contributions[نسبة الإدارة الخاصة به], Tbl_Contributions[اسم المشروع], $B37, Tbl_Contributions[اسم المساهم], $D$5))</f>
        <v>0</v>
      </c>
      <c r="F37" s="3">
        <f>IF($C37=0,"",SUMIFS(Tbl_Contributions[حصة الربح قبل الإدارة], Tbl_Contributions[اسم المشروع], $B37, Tbl_Contributions[اسم المساهم], $D$5))</f>
        <v>0</v>
      </c>
      <c r="G37" s="3">
        <f>IF($C37=0,"",SUMIFS(Tbl_Contributions[نصيب الإدارة], Tbl_Contributions[اسم المشروع], $B37, Tbl_Contributions[اسم المساهم], $D$5))</f>
        <v>0</v>
      </c>
      <c r="H37" s="3">
        <f>IF($C37=0,"",SUMIFS(Tbl_Contributions[صافي ربح المساهم], Tbl_Contributions[اسم المشروع], $B37, Tbl_Contributions[اسم المساهم], $D$5))</f>
        <v>0</v>
      </c>
      <c r="I37" s="3">
        <f>IF($C37=0,"",SUMIFS(Tbl_Contributions[إجمالي المستحق للمساهم], Tbl_Contributions[اسم المشروع], $B37, Tbl_Contributions[اسم المساهم], $D$5))</f>
        <v>0</v>
      </c>
      <c r="J37" s="3">
        <f>IF($C37=0,"",SUMIFS(Tbl_Contributions[المسحوبات (تتضمن رد رأس المال والأرباح)], Tbl_Contributions[اسم المشروع], $B37, Tbl_Contributions[اسم المساهم], $D$5))</f>
        <v>0</v>
      </c>
      <c r="K37" s="3">
        <f t="shared" si="0"/>
        <v>0</v>
      </c>
    </row>
    <row r="38" spans="2:11" x14ac:dyDescent="0.25">
      <c r="B38" s="3" t="str">
        <f>IFERROR(INDEX(Tbl_Projects[اسم المشروع], 27), "")</f>
        <v/>
      </c>
      <c r="C38" s="3" t="str">
        <f>IF($B38="","",SUMIFS(Tbl_Contributions[رأس مال المساهم], Tbl_Contributions[اسم المشروع], $B38, Tbl_Contributions[اسم المساهم], $D$5))</f>
        <v/>
      </c>
      <c r="D38" s="4" t="e">
        <f>IF($C38=0,"",$C38/SUMIFS(Tbl_Contributions[رأس مال المساهم], Tbl_Contributions[اسم المشروع], $B38))</f>
        <v>#VALUE!</v>
      </c>
      <c r="E38" s="4">
        <f>IF($C38=0,"",SUMIFS(Tbl_Contributions[نسبة الإدارة الخاصة به], Tbl_Contributions[اسم المشروع], $B38, Tbl_Contributions[اسم المساهم], $D$5))</f>
        <v>0</v>
      </c>
      <c r="F38" s="3">
        <f>IF($C38=0,"",SUMIFS(Tbl_Contributions[حصة الربح قبل الإدارة], Tbl_Contributions[اسم المشروع], $B38, Tbl_Contributions[اسم المساهم], $D$5))</f>
        <v>0</v>
      </c>
      <c r="G38" s="3">
        <f>IF($C38=0,"",SUMIFS(Tbl_Contributions[نصيب الإدارة], Tbl_Contributions[اسم المشروع], $B38, Tbl_Contributions[اسم المساهم], $D$5))</f>
        <v>0</v>
      </c>
      <c r="H38" s="3">
        <f>IF($C38=0,"",SUMIFS(Tbl_Contributions[صافي ربح المساهم], Tbl_Contributions[اسم المشروع], $B38, Tbl_Contributions[اسم المساهم], $D$5))</f>
        <v>0</v>
      </c>
      <c r="I38" s="3">
        <f>IF($C38=0,"",SUMIFS(Tbl_Contributions[إجمالي المستحق للمساهم], Tbl_Contributions[اسم المشروع], $B38, Tbl_Contributions[اسم المساهم], $D$5))</f>
        <v>0</v>
      </c>
      <c r="J38" s="3">
        <f>IF($C38=0,"",SUMIFS(Tbl_Contributions[المسحوبات (تتضمن رد رأس المال والأرباح)], Tbl_Contributions[اسم المشروع], $B38, Tbl_Contributions[اسم المساهم], $D$5))</f>
        <v>0</v>
      </c>
      <c r="K38" s="3">
        <f t="shared" si="0"/>
        <v>0</v>
      </c>
    </row>
    <row r="39" spans="2:11" x14ac:dyDescent="0.25">
      <c r="B39" s="3" t="str">
        <f>IFERROR(INDEX(Tbl_Projects[اسم المشروع], 28), "")</f>
        <v/>
      </c>
      <c r="C39" s="3" t="str">
        <f>IF($B39="","",SUMIFS(Tbl_Contributions[رأس مال المساهم], Tbl_Contributions[اسم المشروع], $B39, Tbl_Contributions[اسم المساهم], $D$5))</f>
        <v/>
      </c>
      <c r="D39" s="4" t="e">
        <f>IF($C39=0,"",$C39/SUMIFS(Tbl_Contributions[رأس مال المساهم], Tbl_Contributions[اسم المشروع], $B39))</f>
        <v>#VALUE!</v>
      </c>
      <c r="E39" s="4">
        <f>IF($C39=0,"",SUMIFS(Tbl_Contributions[نسبة الإدارة الخاصة به], Tbl_Contributions[اسم المشروع], $B39, Tbl_Contributions[اسم المساهم], $D$5))</f>
        <v>0</v>
      </c>
      <c r="F39" s="3">
        <f>IF($C39=0,"",SUMIFS(Tbl_Contributions[حصة الربح قبل الإدارة], Tbl_Contributions[اسم المشروع], $B39, Tbl_Contributions[اسم المساهم], $D$5))</f>
        <v>0</v>
      </c>
      <c r="G39" s="3">
        <f>IF($C39=0,"",SUMIFS(Tbl_Contributions[نصيب الإدارة], Tbl_Contributions[اسم المشروع], $B39, Tbl_Contributions[اسم المساهم], $D$5))</f>
        <v>0</v>
      </c>
      <c r="H39" s="3">
        <f>IF($C39=0,"",SUMIFS(Tbl_Contributions[صافي ربح المساهم], Tbl_Contributions[اسم المشروع], $B39, Tbl_Contributions[اسم المساهم], $D$5))</f>
        <v>0</v>
      </c>
      <c r="I39" s="3">
        <f>IF($C39=0,"",SUMIFS(Tbl_Contributions[إجمالي المستحق للمساهم], Tbl_Contributions[اسم المشروع], $B39, Tbl_Contributions[اسم المساهم], $D$5))</f>
        <v>0</v>
      </c>
      <c r="J39" s="3">
        <f>IF($C39=0,"",SUMIFS(Tbl_Contributions[المسحوبات (تتضمن رد رأس المال والأرباح)], Tbl_Contributions[اسم المشروع], $B39, Tbl_Contributions[اسم المساهم], $D$5))</f>
        <v>0</v>
      </c>
      <c r="K39" s="3">
        <f t="shared" si="0"/>
        <v>0</v>
      </c>
    </row>
    <row r="40" spans="2:11" x14ac:dyDescent="0.25">
      <c r="B40" s="3" t="str">
        <f>IFERROR(INDEX(Tbl_Projects[اسم المشروع], 29), "")</f>
        <v/>
      </c>
      <c r="C40" s="3" t="str">
        <f>IF($B40="","",SUMIFS(Tbl_Contributions[رأس مال المساهم], Tbl_Contributions[اسم المشروع], $B40, Tbl_Contributions[اسم المساهم], $D$5))</f>
        <v/>
      </c>
      <c r="D40" s="4" t="e">
        <f>IF($C40=0,"",$C40/SUMIFS(Tbl_Contributions[رأس مال المساهم], Tbl_Contributions[اسم المشروع], $B40))</f>
        <v>#VALUE!</v>
      </c>
      <c r="E40" s="4">
        <f>IF($C40=0,"",SUMIFS(Tbl_Contributions[نسبة الإدارة الخاصة به], Tbl_Contributions[اسم المشروع], $B40, Tbl_Contributions[اسم المساهم], $D$5))</f>
        <v>0</v>
      </c>
      <c r="F40" s="3">
        <f>IF($C40=0,"",SUMIFS(Tbl_Contributions[حصة الربح قبل الإدارة], Tbl_Contributions[اسم المشروع], $B40, Tbl_Contributions[اسم المساهم], $D$5))</f>
        <v>0</v>
      </c>
      <c r="G40" s="3">
        <f>IF($C40=0,"",SUMIFS(Tbl_Contributions[نصيب الإدارة], Tbl_Contributions[اسم المشروع], $B40, Tbl_Contributions[اسم المساهم], $D$5))</f>
        <v>0</v>
      </c>
      <c r="H40" s="3">
        <f>IF($C40=0,"",SUMIFS(Tbl_Contributions[صافي ربح المساهم], Tbl_Contributions[اسم المشروع], $B40, Tbl_Contributions[اسم المساهم], $D$5))</f>
        <v>0</v>
      </c>
      <c r="I40" s="3">
        <f>IF($C40=0,"",SUMIFS(Tbl_Contributions[إجمالي المستحق للمساهم], Tbl_Contributions[اسم المشروع], $B40, Tbl_Contributions[اسم المساهم], $D$5))</f>
        <v>0</v>
      </c>
      <c r="J40" s="3">
        <f>IF($C40=0,"",SUMIFS(Tbl_Contributions[المسحوبات (تتضمن رد رأس المال والأرباح)], Tbl_Contributions[اسم المشروع], $B40, Tbl_Contributions[اسم المساهم], $D$5))</f>
        <v>0</v>
      </c>
      <c r="K40" s="3">
        <f t="shared" si="0"/>
        <v>0</v>
      </c>
    </row>
    <row r="41" spans="2:11" x14ac:dyDescent="0.25">
      <c r="B41" s="3" t="str">
        <f>IFERROR(INDEX(Tbl_Projects[اسم المشروع], 30), "")</f>
        <v/>
      </c>
      <c r="C41" s="3" t="str">
        <f>IF($B41="","",SUMIFS(Tbl_Contributions[رأس مال المساهم], Tbl_Contributions[اسم المشروع], $B41, Tbl_Contributions[اسم المساهم], $D$5))</f>
        <v/>
      </c>
      <c r="D41" s="4" t="e">
        <f>IF($C41=0,"",$C41/SUMIFS(Tbl_Contributions[رأس مال المساهم], Tbl_Contributions[اسم المشروع], $B41))</f>
        <v>#VALUE!</v>
      </c>
      <c r="E41" s="4">
        <f>IF($C41=0,"",SUMIFS(Tbl_Contributions[نسبة الإدارة الخاصة به], Tbl_Contributions[اسم المشروع], $B41, Tbl_Contributions[اسم المساهم], $D$5))</f>
        <v>0</v>
      </c>
      <c r="F41" s="3">
        <f>IF($C41=0,"",SUMIFS(Tbl_Contributions[حصة الربح قبل الإدارة], Tbl_Contributions[اسم المشروع], $B41, Tbl_Contributions[اسم المساهم], $D$5))</f>
        <v>0</v>
      </c>
      <c r="G41" s="3">
        <f>IF($C41=0,"",SUMIFS(Tbl_Contributions[نصيب الإدارة], Tbl_Contributions[اسم المشروع], $B41, Tbl_Contributions[اسم المساهم], $D$5))</f>
        <v>0</v>
      </c>
      <c r="H41" s="3">
        <f>IF($C41=0,"",SUMIFS(Tbl_Contributions[صافي ربح المساهم], Tbl_Contributions[اسم المشروع], $B41, Tbl_Contributions[اسم المساهم], $D$5))</f>
        <v>0</v>
      </c>
      <c r="I41" s="3">
        <f>IF($C41=0,"",SUMIFS(Tbl_Contributions[إجمالي المستحق للمساهم], Tbl_Contributions[اسم المشروع], $B41, Tbl_Contributions[اسم المساهم], $D$5))</f>
        <v>0</v>
      </c>
      <c r="J41" s="3">
        <f>IF($C41=0,"",SUMIFS(Tbl_Contributions[المسحوبات (تتضمن رد رأس المال والأرباح)], Tbl_Contributions[اسم المشروع], $B41, Tbl_Contributions[اسم المساهم], $D$5))</f>
        <v>0</v>
      </c>
      <c r="K41" s="3">
        <f t="shared" si="0"/>
        <v>0</v>
      </c>
    </row>
  </sheetData>
  <mergeCells count="1">
    <mergeCell ref="B2:K3"/>
  </mergeCells>
  <dataValidations count="1">
    <dataValidation type="list" showInputMessage="1" showErrorMessage="1" sqref="D5">
      <formula1>InvList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rightToLeft="1" workbookViewId="0">
      <selection activeCell="D5" sqref="D5"/>
    </sheetView>
  </sheetViews>
  <sheetFormatPr defaultRowHeight="15" x14ac:dyDescent="0.25"/>
  <cols>
    <col min="1" max="1" width="5.7109375" customWidth="1"/>
    <col min="2" max="11" width="16.7109375" customWidth="1"/>
  </cols>
  <sheetData>
    <row r="2" spans="2:11" x14ac:dyDescent="0.25">
      <c r="B2" s="14" t="s">
        <v>229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2:11" x14ac:dyDescent="0.25">
      <c r="C5" s="1" t="s">
        <v>230</v>
      </c>
      <c r="D5" s="2" t="s">
        <v>124</v>
      </c>
    </row>
    <row r="8" spans="2:11" x14ac:dyDescent="0.25">
      <c r="C8" s="1" t="s">
        <v>110</v>
      </c>
      <c r="D8" s="3">
        <f>IFERROR(INDEX(Tbl_Projects[إجمالي رأس المال], MATCH($D$5, Tbl_Projects[اسم المشروع], 0)), 0)</f>
        <v>15000000</v>
      </c>
      <c r="E8" s="1" t="s">
        <v>231</v>
      </c>
      <c r="F8" s="3">
        <f>IFERROR(INDEX(Tbl_Projects[إجمالي التحصيل الفعلي], MATCH($D$5, Tbl_Projects[اسم المشروع], 0)), 0)</f>
        <v>8569000</v>
      </c>
      <c r="G8" s="1" t="s">
        <v>232</v>
      </c>
      <c r="H8" s="3">
        <f>IFERROR(INDEX(Tbl_Projects[إجمالي المصروفات], MATCH($D$5, Tbl_Projects[اسم المشروع], 0)), 0)</f>
        <v>0</v>
      </c>
      <c r="I8" s="1" t="s">
        <v>116</v>
      </c>
      <c r="J8" s="3">
        <f>IFERROR(INDEX(Tbl_Projects[صافي الربح], MATCH($D$5, Tbl_Projects[اسم المشروع], 0)), 0)</f>
        <v>-6431000</v>
      </c>
    </row>
    <row r="9" spans="2:11" ht="30" customHeight="1" x14ac:dyDescent="0.25">
      <c r="C9" s="1" t="s">
        <v>233</v>
      </c>
      <c r="D9" s="3">
        <f>IFERROR(INDEX(Tbl_Projects[التحويلات الواردة], MATCH($D$5, Tbl_Projects[اسم المشروع], 0)), 0)</f>
        <v>0</v>
      </c>
      <c r="E9" s="1" t="s">
        <v>234</v>
      </c>
      <c r="F9" s="3">
        <f>IFERROR(INDEX(Tbl_Projects[التحويلات الصادرة], MATCH($D$5, Tbl_Projects[اسم المشروع], 0)), 0)</f>
        <v>0</v>
      </c>
      <c r="G9" s="1" t="s">
        <v>235</v>
      </c>
      <c r="H9" s="3">
        <f>IFERROR(INDEX(Tbl_Projects[السيولة المتبقية بالمشروع], MATCH($D$5, Tbl_Projects[اسم المشروع], 0)), 0)</f>
        <v>0</v>
      </c>
    </row>
    <row r="10" spans="2:11" ht="30" customHeight="1" x14ac:dyDescent="0.25">
      <c r="B10" s="1" t="s">
        <v>236</v>
      </c>
    </row>
    <row r="11" spans="2:11" x14ac:dyDescent="0.25">
      <c r="B11" s="1" t="s">
        <v>30</v>
      </c>
      <c r="C11" s="1" t="s">
        <v>224</v>
      </c>
      <c r="D11" s="1" t="s">
        <v>225</v>
      </c>
      <c r="E11" s="1" t="s">
        <v>226</v>
      </c>
      <c r="F11" s="1" t="s">
        <v>227</v>
      </c>
      <c r="G11" s="1" t="s">
        <v>135</v>
      </c>
      <c r="H11" s="1" t="s">
        <v>116</v>
      </c>
      <c r="I11" s="1" t="s">
        <v>221</v>
      </c>
      <c r="J11" s="1" t="s">
        <v>228</v>
      </c>
      <c r="K11" s="1" t="s">
        <v>165</v>
      </c>
    </row>
    <row r="12" spans="2:11" x14ac:dyDescent="0.25">
      <c r="B12" s="3" t="str">
        <f>IFERROR(INDEX(Tbl_Investors[اسم المساهم], 1), "")</f>
        <v>ابو سامح</v>
      </c>
      <c r="C12" s="3">
        <f>IF($B12="","",SUMIFS(Tbl_Contributions[رأس مال المساهم], Tbl_Contributions[اسم المشروع], $D$5, Tbl_Contributions[اسم المساهم], $B12))</f>
        <v>2600000</v>
      </c>
      <c r="D12" s="4">
        <f>IF($C12=0,"",$C12/SUMIFS(Tbl_Contributions[رأس مال المساهم], Tbl_Contributions[اسم المشروع], $D$5))</f>
        <v>0.17333333333333334</v>
      </c>
      <c r="E12" s="4">
        <f>IF($C12=0,"",SUMIFS(Tbl_Contributions[نسبة الإدارة الخاصة به], Tbl_Contributions[اسم المشروع], $D$5, Tbl_Contributions[اسم المساهم], $B12))</f>
        <v>0.2</v>
      </c>
      <c r="F12" s="3">
        <f>IF($C12=0,"",SUMIFS(Tbl_Contributions[حصة الربح قبل الإدارة], Tbl_Contributions[اسم المشروع], $D$5, Tbl_Contributions[اسم المساهم], $B12))</f>
        <v>-1114706.6666666667</v>
      </c>
      <c r="G12" s="3">
        <f>IF($C12=0,"",SUMIFS(Tbl_Contributions[نصيب الإدارة], Tbl_Contributions[اسم المشروع], $D$5, Tbl_Contributions[اسم المساهم], $B12))</f>
        <v>0</v>
      </c>
      <c r="H12" s="3">
        <f>IF($C12=0,"",SUMIFS(Tbl_Contributions[صافي ربح المساهم], Tbl_Contributions[اسم المشروع], $D$5, Tbl_Contributions[اسم المساهم], $B12))</f>
        <v>-1114706.6666666667</v>
      </c>
      <c r="I12" s="3">
        <f>IF($C12=0,"",SUMIFS(Tbl_Contributions[إجمالي المستحق للمساهم], Tbl_Contributions[اسم المشروع], $D$5, Tbl_Contributions[اسم المساهم], $B12))</f>
        <v>1485293.3333333333</v>
      </c>
      <c r="J12" s="3">
        <f>IF($C12=0,"",SUMIFS(Tbl_Contributions[المسحوبات (تتضمن رد رأس المال والأرباح)], Tbl_Contributions[اسم المشروع], $D$5, Tbl_Contributions[اسم المساهم], $B12))</f>
        <v>1485000</v>
      </c>
      <c r="K12" s="3">
        <f t="shared" ref="K12:K41" si="0">IF($C12=0,"",$I12-$J12)</f>
        <v>293.33333333325572</v>
      </c>
    </row>
    <row r="13" spans="2:11" x14ac:dyDescent="0.25">
      <c r="B13" s="3" t="str">
        <f>IFERROR(INDEX(Tbl_Investors[اسم المساهم], 2), "")</f>
        <v>وليد مصطفى</v>
      </c>
      <c r="C13" s="3">
        <f>IF($B13="","",SUMIFS(Tbl_Contributions[رأس مال المساهم], Tbl_Contributions[اسم المشروع], $D$5, Tbl_Contributions[اسم المساهم], $B13))</f>
        <v>1000000</v>
      </c>
      <c r="D13" s="4">
        <f>IF($C13=0,"",$C13/SUMIFS(Tbl_Contributions[رأس مال المساهم], Tbl_Contributions[اسم المشروع], $D$5))</f>
        <v>6.6666666666666666E-2</v>
      </c>
      <c r="E13" s="4">
        <f>IF($C13=0,"",SUMIFS(Tbl_Contributions[نسبة الإدارة الخاصة به], Tbl_Contributions[اسم المشروع], $D$5, Tbl_Contributions[اسم المساهم], $B13))</f>
        <v>0.2</v>
      </c>
      <c r="F13" s="3">
        <f>IF($C13=0,"",SUMIFS(Tbl_Contributions[حصة الربح قبل الإدارة], Tbl_Contributions[اسم المشروع], $D$5, Tbl_Contributions[اسم المساهم], $B13))</f>
        <v>-428733.33333333331</v>
      </c>
      <c r="G13" s="3">
        <f>IF($C13=0,"",SUMIFS(Tbl_Contributions[نصيب الإدارة], Tbl_Contributions[اسم المشروع], $D$5, Tbl_Contributions[اسم المساهم], $B13))</f>
        <v>0</v>
      </c>
      <c r="H13" s="3">
        <f>IF($C13=0,"",SUMIFS(Tbl_Contributions[صافي ربح المساهم], Tbl_Contributions[اسم المشروع], $D$5, Tbl_Contributions[اسم المساهم], $B13))</f>
        <v>-428733.33333333331</v>
      </c>
      <c r="I13" s="3">
        <f>IF($C13=0,"",SUMIFS(Tbl_Contributions[إجمالي المستحق للمساهم], Tbl_Contributions[اسم المشروع], $D$5, Tbl_Contributions[اسم المساهم], $B13))</f>
        <v>571266.66666666674</v>
      </c>
      <c r="J13" s="3">
        <f>IF($C13=0,"",SUMIFS(Tbl_Contributions[المسحوبات (تتضمن رد رأس المال والأرباح)], Tbl_Contributions[اسم المشروع], $D$5, Tbl_Contributions[اسم المساهم], $B13))</f>
        <v>500000</v>
      </c>
      <c r="K13" s="3">
        <f t="shared" si="0"/>
        <v>71266.666666666744</v>
      </c>
    </row>
    <row r="14" spans="2:11" x14ac:dyDescent="0.25">
      <c r="B14" s="3" t="str">
        <f>IFERROR(INDEX(Tbl_Investors[اسم المساهم], 3), "")</f>
        <v>مايز محمد</v>
      </c>
      <c r="C14" s="3">
        <f>IF($B14="","",SUMIFS(Tbl_Contributions[رأس مال المساهم], Tbl_Contributions[اسم المشروع], $D$5, Tbl_Contributions[اسم المساهم], $B14))</f>
        <v>2000000</v>
      </c>
      <c r="D14" s="4">
        <f>IF($C14=0,"",$C14/SUMIFS(Tbl_Contributions[رأس مال المساهم], Tbl_Contributions[اسم المشروع], $D$5))</f>
        <v>0.13333333333333333</v>
      </c>
      <c r="E14" s="4">
        <f>IF($C14=0,"",SUMIFS(Tbl_Contributions[نسبة الإدارة الخاصة به], Tbl_Contributions[اسم المشروع], $D$5, Tbl_Contributions[اسم المساهم], $B14))</f>
        <v>0.2</v>
      </c>
      <c r="F14" s="3">
        <f>IF($C14=0,"",SUMIFS(Tbl_Contributions[حصة الربح قبل الإدارة], Tbl_Contributions[اسم المشروع], $D$5, Tbl_Contributions[اسم المساهم], $B14))</f>
        <v>-857466.66666666663</v>
      </c>
      <c r="G14" s="3">
        <f>IF($C14=0,"",SUMIFS(Tbl_Contributions[نصيب الإدارة], Tbl_Contributions[اسم المشروع], $D$5, Tbl_Contributions[اسم المساهم], $B14))</f>
        <v>0</v>
      </c>
      <c r="H14" s="3">
        <f>IF($C14=0,"",SUMIFS(Tbl_Contributions[صافي ربح المساهم], Tbl_Contributions[اسم المشروع], $D$5, Tbl_Contributions[اسم المساهم], $B14))</f>
        <v>-857466.66666666663</v>
      </c>
      <c r="I14" s="3">
        <f>IF($C14=0,"",SUMIFS(Tbl_Contributions[إجمالي المستحق للمساهم], Tbl_Contributions[اسم المشروع], $D$5, Tbl_Contributions[اسم المساهم], $B14))</f>
        <v>1142533.3333333335</v>
      </c>
      <c r="J14" s="3">
        <f>IF($C14=0,"",SUMIFS(Tbl_Contributions[المسحوبات (تتضمن رد رأس المال والأرباح)], Tbl_Contributions[اسم المشروع], $D$5, Tbl_Contributions[اسم المساهم], $B14))</f>
        <v>0</v>
      </c>
      <c r="K14" s="3">
        <f t="shared" si="0"/>
        <v>1142533.3333333335</v>
      </c>
    </row>
    <row r="15" spans="2:11" x14ac:dyDescent="0.25">
      <c r="B15" s="3" t="str">
        <f>IFERROR(INDEX(Tbl_Investors[اسم المساهم], 4), "")</f>
        <v>زكريا على</v>
      </c>
      <c r="C15" s="3">
        <f>IF($B15="","",SUMIFS(Tbl_Contributions[رأس مال المساهم], Tbl_Contributions[اسم المشروع], $D$5, Tbl_Contributions[اسم المساهم], $B15))</f>
        <v>4500000</v>
      </c>
      <c r="D15" s="4">
        <f>IF($C15=0,"",$C15/SUMIFS(Tbl_Contributions[رأس مال المساهم], Tbl_Contributions[اسم المشروع], $D$5))</f>
        <v>0.3</v>
      </c>
      <c r="E15" s="4">
        <f>IF($C15=0,"",SUMIFS(Tbl_Contributions[نسبة الإدارة الخاصة به], Tbl_Contributions[اسم المشروع], $D$5, Tbl_Contributions[اسم المساهم], $B15))</f>
        <v>0.2</v>
      </c>
      <c r="F15" s="3">
        <f>IF($C15=0,"",SUMIFS(Tbl_Contributions[حصة الربح قبل الإدارة], Tbl_Contributions[اسم المشروع], $D$5, Tbl_Contributions[اسم المساهم], $B15))</f>
        <v>-1929300</v>
      </c>
      <c r="G15" s="3">
        <f>IF($C15=0,"",SUMIFS(Tbl_Contributions[نصيب الإدارة], Tbl_Contributions[اسم المشروع], $D$5, Tbl_Contributions[اسم المساهم], $B15))</f>
        <v>0</v>
      </c>
      <c r="H15" s="3">
        <f>IF($C15=0,"",SUMIFS(Tbl_Contributions[صافي ربح المساهم], Tbl_Contributions[اسم المشروع], $D$5, Tbl_Contributions[اسم المساهم], $B15))</f>
        <v>-1929300</v>
      </c>
      <c r="I15" s="3">
        <f>IF($C15=0,"",SUMIFS(Tbl_Contributions[إجمالي المستحق للمساهم], Tbl_Contributions[اسم المشروع], $D$5, Tbl_Contributions[اسم المساهم], $B15))</f>
        <v>2570700</v>
      </c>
      <c r="J15" s="3">
        <f>IF($C15=0,"",SUMIFS(Tbl_Contributions[المسحوبات (تتضمن رد رأس المال والأرباح)], Tbl_Contributions[اسم المشروع], $D$5, Tbl_Contributions[اسم المساهم], $B15))</f>
        <v>0</v>
      </c>
      <c r="K15" s="3">
        <f t="shared" si="0"/>
        <v>2570700</v>
      </c>
    </row>
    <row r="16" spans="2:11" x14ac:dyDescent="0.25">
      <c r="B16" s="3" t="str">
        <f>IFERROR(INDEX(Tbl_Investors[اسم المساهم], 5), "")</f>
        <v>رمضان رجب</v>
      </c>
      <c r="C16" s="3">
        <f>IF($B16="","",SUMIFS(Tbl_Contributions[رأس مال المساهم], Tbl_Contributions[اسم المشروع], $D$5, Tbl_Contributions[اسم المساهم], $B16))</f>
        <v>370000</v>
      </c>
      <c r="D16" s="4">
        <f>IF($C16=0,"",$C16/SUMIFS(Tbl_Contributions[رأس مال المساهم], Tbl_Contributions[اسم المشروع], $D$5))</f>
        <v>2.4666666666666667E-2</v>
      </c>
      <c r="E16" s="4">
        <f>IF($C16=0,"",SUMIFS(Tbl_Contributions[نسبة الإدارة الخاصة به], Tbl_Contributions[اسم المشروع], $D$5, Tbl_Contributions[اسم المساهم], $B16))</f>
        <v>0.2</v>
      </c>
      <c r="F16" s="3">
        <f>IF($C16=0,"",SUMIFS(Tbl_Contributions[حصة الربح قبل الإدارة], Tbl_Contributions[اسم المشروع], $D$5, Tbl_Contributions[اسم المساهم], $B16))</f>
        <v>-158631.33333333334</v>
      </c>
      <c r="G16" s="3">
        <f>IF($C16=0,"",SUMIFS(Tbl_Contributions[نصيب الإدارة], Tbl_Contributions[اسم المشروع], $D$5, Tbl_Contributions[اسم المساهم], $B16))</f>
        <v>0</v>
      </c>
      <c r="H16" s="3">
        <f>IF($C16=0,"",SUMIFS(Tbl_Contributions[صافي ربح المساهم], Tbl_Contributions[اسم المشروع], $D$5, Tbl_Contributions[اسم المساهم], $B16))</f>
        <v>-158631.33333333334</v>
      </c>
      <c r="I16" s="3">
        <f>IF($C16=0,"",SUMIFS(Tbl_Contributions[إجمالي المستحق للمساهم], Tbl_Contributions[اسم المشروع], $D$5, Tbl_Contributions[اسم المساهم], $B16))</f>
        <v>211368.66666666666</v>
      </c>
      <c r="J16" s="3">
        <f>IF($C16=0,"",SUMIFS(Tbl_Contributions[المسحوبات (تتضمن رد رأس المال والأرباح)], Tbl_Contributions[اسم المشروع], $D$5, Tbl_Contributions[اسم المساهم], $B16))</f>
        <v>0</v>
      </c>
      <c r="K16" s="3">
        <f t="shared" si="0"/>
        <v>211368.66666666666</v>
      </c>
    </row>
    <row r="17" spans="2:11" x14ac:dyDescent="0.25">
      <c r="B17" s="3" t="str">
        <f>IFERROR(INDEX(Tbl_Investors[اسم المساهم], 6), "")</f>
        <v>اشرف ابراهيم</v>
      </c>
      <c r="C17" s="3">
        <f>IF($B17="","",SUMIFS(Tbl_Contributions[رأس مال المساهم], Tbl_Contributions[اسم المشروع], $D$5, Tbl_Contributions[اسم المساهم], $B17))</f>
        <v>125000</v>
      </c>
      <c r="D17" s="4">
        <f>IF($C17=0,"",$C17/SUMIFS(Tbl_Contributions[رأس مال المساهم], Tbl_Contributions[اسم المشروع], $D$5))</f>
        <v>8.3333333333333332E-3</v>
      </c>
      <c r="E17" s="4">
        <f>IF($C17=0,"",SUMIFS(Tbl_Contributions[نسبة الإدارة الخاصة به], Tbl_Contributions[اسم المشروع], $D$5, Tbl_Contributions[اسم المساهم], $B17))</f>
        <v>0.2</v>
      </c>
      <c r="F17" s="3">
        <f>IF($C17=0,"",SUMIFS(Tbl_Contributions[حصة الربح قبل الإدارة], Tbl_Contributions[اسم المشروع], $D$5, Tbl_Contributions[اسم المساهم], $B17))</f>
        <v>-53591.666666666664</v>
      </c>
      <c r="G17" s="3">
        <f>IF($C17=0,"",SUMIFS(Tbl_Contributions[نصيب الإدارة], Tbl_Contributions[اسم المشروع], $D$5, Tbl_Contributions[اسم المساهم], $B17))</f>
        <v>0</v>
      </c>
      <c r="H17" s="3">
        <f>IF($C17=0,"",SUMIFS(Tbl_Contributions[صافي ربح المساهم], Tbl_Contributions[اسم المشروع], $D$5, Tbl_Contributions[اسم المساهم], $B17))</f>
        <v>-53591.666666666664</v>
      </c>
      <c r="I17" s="3">
        <f>IF($C17=0,"",SUMIFS(Tbl_Contributions[إجمالي المستحق للمساهم], Tbl_Contributions[اسم المشروع], $D$5, Tbl_Contributions[اسم المساهم], $B17))</f>
        <v>71408.333333333343</v>
      </c>
      <c r="J17" s="3">
        <f>IF($C17=0,"",SUMIFS(Tbl_Contributions[المسحوبات (تتضمن رد رأس المال والأرباح)], Tbl_Contributions[اسم المشروع], $D$5, Tbl_Contributions[اسم المساهم], $B17))</f>
        <v>0</v>
      </c>
      <c r="K17" s="3">
        <f t="shared" si="0"/>
        <v>71408.333333333343</v>
      </c>
    </row>
    <row r="18" spans="2:11" x14ac:dyDescent="0.25">
      <c r="B18" s="3" t="str">
        <f>IFERROR(INDEX(Tbl_Investors[اسم المساهم], 7), "")</f>
        <v>على ممدوح</v>
      </c>
      <c r="C18" s="3">
        <f>IF($B18="","",SUMIFS(Tbl_Contributions[رأس مال المساهم], Tbl_Contributions[اسم المشروع], $D$5, Tbl_Contributions[اسم المساهم], $B18))</f>
        <v>840000</v>
      </c>
      <c r="D18" s="4">
        <f>IF($C18=0,"",$C18/SUMIFS(Tbl_Contributions[رأس مال المساهم], Tbl_Contributions[اسم المشروع], $D$5))</f>
        <v>5.6000000000000001E-2</v>
      </c>
      <c r="E18" s="4">
        <f>IF($C18=0,"",SUMIFS(Tbl_Contributions[نسبة الإدارة الخاصة به], Tbl_Contributions[اسم المشروع], $D$5, Tbl_Contributions[اسم المساهم], $B18))</f>
        <v>0.2</v>
      </c>
      <c r="F18" s="3">
        <f>IF($C18=0,"",SUMIFS(Tbl_Contributions[حصة الربح قبل الإدارة], Tbl_Contributions[اسم المشروع], $D$5, Tbl_Contributions[اسم المساهم], $B18))</f>
        <v>-360136</v>
      </c>
      <c r="G18" s="3">
        <f>IF($C18=0,"",SUMIFS(Tbl_Contributions[نصيب الإدارة], Tbl_Contributions[اسم المشروع], $D$5, Tbl_Contributions[اسم المساهم], $B18))</f>
        <v>0</v>
      </c>
      <c r="H18" s="3">
        <f>IF($C18=0,"",SUMIFS(Tbl_Contributions[صافي ربح المساهم], Tbl_Contributions[اسم المشروع], $D$5, Tbl_Contributions[اسم المساهم], $B18))</f>
        <v>-360136</v>
      </c>
      <c r="I18" s="3">
        <f>IF($C18=0,"",SUMIFS(Tbl_Contributions[إجمالي المستحق للمساهم], Tbl_Contributions[اسم المشروع], $D$5, Tbl_Contributions[اسم المساهم], $B18))</f>
        <v>479864</v>
      </c>
      <c r="J18" s="3">
        <f>IF($C18=0,"",SUMIFS(Tbl_Contributions[المسحوبات (تتضمن رد رأس المال والأرباح)], Tbl_Contributions[اسم المشروع], $D$5, Tbl_Contributions[اسم المساهم], $B18))</f>
        <v>0</v>
      </c>
      <c r="K18" s="3">
        <f t="shared" si="0"/>
        <v>479864</v>
      </c>
    </row>
    <row r="19" spans="2:11" x14ac:dyDescent="0.25">
      <c r="B19" s="3" t="str">
        <f>IFERROR(INDEX(Tbl_Investors[اسم المساهم], 8), "")</f>
        <v>عمر صلاح</v>
      </c>
      <c r="C19" s="3">
        <f>IF($B19="","",SUMIFS(Tbl_Contributions[رأس مال المساهم], Tbl_Contributions[اسم المشروع], $D$5, Tbl_Contributions[اسم المساهم], $B19))</f>
        <v>325000</v>
      </c>
      <c r="D19" s="4">
        <f>IF($C19=0,"",$C19/SUMIFS(Tbl_Contributions[رأس مال المساهم], Tbl_Contributions[اسم المشروع], $D$5))</f>
        <v>2.1666666666666667E-2</v>
      </c>
      <c r="E19" s="4">
        <f>IF($C19=0,"",SUMIFS(Tbl_Contributions[نسبة الإدارة الخاصة به], Tbl_Contributions[اسم المشروع], $D$5, Tbl_Contributions[اسم المساهم], $B19))</f>
        <v>0.2</v>
      </c>
      <c r="F19" s="3">
        <f>IF($C19=0,"",SUMIFS(Tbl_Contributions[حصة الربح قبل الإدارة], Tbl_Contributions[اسم المشروع], $D$5, Tbl_Contributions[اسم المساهم], $B19))</f>
        <v>-139338.33333333334</v>
      </c>
      <c r="G19" s="3">
        <f>IF($C19=0,"",SUMIFS(Tbl_Contributions[نصيب الإدارة], Tbl_Contributions[اسم المشروع], $D$5, Tbl_Contributions[اسم المساهم], $B19))</f>
        <v>0</v>
      </c>
      <c r="H19" s="3">
        <f>IF($C19=0,"",SUMIFS(Tbl_Contributions[صافي ربح المساهم], Tbl_Contributions[اسم المشروع], $D$5, Tbl_Contributions[اسم المساهم], $B19))</f>
        <v>-139338.33333333334</v>
      </c>
      <c r="I19" s="3">
        <f>IF($C19=0,"",SUMIFS(Tbl_Contributions[إجمالي المستحق للمساهم], Tbl_Contributions[اسم المشروع], $D$5, Tbl_Contributions[اسم المساهم], $B19))</f>
        <v>185661.66666666666</v>
      </c>
      <c r="J19" s="3">
        <f>IF($C19=0,"",SUMIFS(Tbl_Contributions[المسحوبات (تتضمن رد رأس المال والأرباح)], Tbl_Contributions[اسم المشروع], $D$5, Tbl_Contributions[اسم المساهم], $B19))</f>
        <v>0</v>
      </c>
      <c r="K19" s="3">
        <f t="shared" si="0"/>
        <v>185661.66666666666</v>
      </c>
    </row>
    <row r="20" spans="2:11" x14ac:dyDescent="0.25">
      <c r="B20" s="3" t="str">
        <f>IFERROR(INDEX(Tbl_Investors[اسم المساهم], 9), "")</f>
        <v>جمعه خلف</v>
      </c>
      <c r="C20" s="3">
        <f>IF($B20="","",SUMIFS(Tbl_Contributions[رأس مال المساهم], Tbl_Contributions[اسم المشروع], $D$5, Tbl_Contributions[اسم المساهم], $B20))</f>
        <v>245000</v>
      </c>
      <c r="D20" s="4">
        <f>IF($C20=0,"",$C20/SUMIFS(Tbl_Contributions[رأس مال المساهم], Tbl_Contributions[اسم المشروع], $D$5))</f>
        <v>1.6333333333333332E-2</v>
      </c>
      <c r="E20" s="4">
        <f>IF($C20=0,"",SUMIFS(Tbl_Contributions[نسبة الإدارة الخاصة به], Tbl_Contributions[اسم المشروع], $D$5, Tbl_Contributions[اسم المساهم], $B20))</f>
        <v>0.2</v>
      </c>
      <c r="F20" s="3">
        <f>IF($C20=0,"",SUMIFS(Tbl_Contributions[حصة الربح قبل الإدارة], Tbl_Contributions[اسم المشروع], $D$5, Tbl_Contributions[اسم المساهم], $B20))</f>
        <v>-105039.66666666666</v>
      </c>
      <c r="G20" s="3">
        <f>IF($C20=0,"",SUMIFS(Tbl_Contributions[نصيب الإدارة], Tbl_Contributions[اسم المشروع], $D$5, Tbl_Contributions[اسم المساهم], $B20))</f>
        <v>0</v>
      </c>
      <c r="H20" s="3">
        <f>IF($C20=0,"",SUMIFS(Tbl_Contributions[صافي ربح المساهم], Tbl_Contributions[اسم المشروع], $D$5, Tbl_Contributions[اسم المساهم], $B20))</f>
        <v>-105039.66666666666</v>
      </c>
      <c r="I20" s="3">
        <f>IF($C20=0,"",SUMIFS(Tbl_Contributions[إجمالي المستحق للمساهم], Tbl_Contributions[اسم المشروع], $D$5, Tbl_Contributions[اسم المساهم], $B20))</f>
        <v>139960.33333333334</v>
      </c>
      <c r="J20" s="3">
        <f>IF($C20=0,"",SUMIFS(Tbl_Contributions[المسحوبات (تتضمن رد رأس المال والأرباح)], Tbl_Contributions[اسم المشروع], $D$5, Tbl_Contributions[اسم المساهم], $B20))</f>
        <v>0</v>
      </c>
      <c r="K20" s="3">
        <f t="shared" si="0"/>
        <v>139960.33333333334</v>
      </c>
    </row>
    <row r="21" spans="2:11" x14ac:dyDescent="0.25">
      <c r="B21" s="3" t="str">
        <f>IFERROR(INDEX(Tbl_Investors[اسم المساهم], 10), "")</f>
        <v>محمد ناجى</v>
      </c>
      <c r="C21" s="3">
        <f>IF($B21="","",SUMIFS(Tbl_Contributions[رأس مال المساهم], Tbl_Contributions[اسم المشروع], $D$5, Tbl_Contributions[اسم المساهم], $B21))</f>
        <v>1000000</v>
      </c>
      <c r="D21" s="4">
        <f>IF($C21=0,"",$C21/SUMIFS(Tbl_Contributions[رأس مال المساهم], Tbl_Contributions[اسم المشروع], $D$5))</f>
        <v>6.6666666666666666E-2</v>
      </c>
      <c r="E21" s="4">
        <f>IF($C21=0,"",SUMIFS(Tbl_Contributions[نسبة الإدارة الخاصة به], Tbl_Contributions[اسم المشروع], $D$5, Tbl_Contributions[اسم المساهم], $B21))</f>
        <v>0.2</v>
      </c>
      <c r="F21" s="3">
        <f>IF($C21=0,"",SUMIFS(Tbl_Contributions[حصة الربح قبل الإدارة], Tbl_Contributions[اسم المشروع], $D$5, Tbl_Contributions[اسم المساهم], $B21))</f>
        <v>-428733.33333333331</v>
      </c>
      <c r="G21" s="3">
        <f>IF($C21=0,"",SUMIFS(Tbl_Contributions[نصيب الإدارة], Tbl_Contributions[اسم المشروع], $D$5, Tbl_Contributions[اسم المساهم], $B21))</f>
        <v>0</v>
      </c>
      <c r="H21" s="3">
        <f>IF($C21=0,"",SUMIFS(Tbl_Contributions[صافي ربح المساهم], Tbl_Contributions[اسم المشروع], $D$5, Tbl_Contributions[اسم المساهم], $B21))</f>
        <v>-428733.33333333331</v>
      </c>
      <c r="I21" s="3">
        <f>IF($C21=0,"",SUMIFS(Tbl_Contributions[إجمالي المستحق للمساهم], Tbl_Contributions[اسم المشروع], $D$5, Tbl_Contributions[اسم المساهم], $B21))</f>
        <v>571266.66666666674</v>
      </c>
      <c r="J21" s="3">
        <f>IF($C21=0,"",SUMIFS(Tbl_Contributions[المسحوبات (تتضمن رد رأس المال والأرباح)], Tbl_Contributions[اسم المشروع], $D$5, Tbl_Contributions[اسم المساهم], $B21))</f>
        <v>0</v>
      </c>
      <c r="K21" s="3">
        <f t="shared" si="0"/>
        <v>571266.66666666674</v>
      </c>
    </row>
    <row r="22" spans="2:11" x14ac:dyDescent="0.25">
      <c r="B22" s="3" t="str">
        <f>IFERROR(INDEX(Tbl_Investors[اسم المساهم], 11), "")</f>
        <v>عماد تقى نقى</v>
      </c>
      <c r="C22" s="3">
        <f>IF($B22="","",SUMIFS(Tbl_Contributions[رأس مال المساهم], Tbl_Contributions[اسم المشروع], $D$5, Tbl_Contributions[اسم المساهم], $B22))</f>
        <v>450000</v>
      </c>
      <c r="D22" s="4">
        <f>IF($C22=0,"",$C22/SUMIFS(Tbl_Contributions[رأس مال المساهم], Tbl_Contributions[اسم المشروع], $D$5))</f>
        <v>0.03</v>
      </c>
      <c r="E22" s="4">
        <f>IF($C22=0,"",SUMIFS(Tbl_Contributions[نسبة الإدارة الخاصة به], Tbl_Contributions[اسم المشروع], $D$5, Tbl_Contributions[اسم المساهم], $B22))</f>
        <v>0.2</v>
      </c>
      <c r="F22" s="3">
        <f>IF($C22=0,"",SUMIFS(Tbl_Contributions[حصة الربح قبل الإدارة], Tbl_Contributions[اسم المشروع], $D$5, Tbl_Contributions[اسم المساهم], $B22))</f>
        <v>-192930</v>
      </c>
      <c r="G22" s="3">
        <f>IF($C22=0,"",SUMIFS(Tbl_Contributions[نصيب الإدارة], Tbl_Contributions[اسم المشروع], $D$5, Tbl_Contributions[اسم المساهم], $B22))</f>
        <v>0</v>
      </c>
      <c r="H22" s="3">
        <f>IF($C22=0,"",SUMIFS(Tbl_Contributions[صافي ربح المساهم], Tbl_Contributions[اسم المشروع], $D$5, Tbl_Contributions[اسم المساهم], $B22))</f>
        <v>-192930</v>
      </c>
      <c r="I22" s="3">
        <f>IF($C22=0,"",SUMIFS(Tbl_Contributions[إجمالي المستحق للمساهم], Tbl_Contributions[اسم المشروع], $D$5, Tbl_Contributions[اسم المساهم], $B22))</f>
        <v>257070</v>
      </c>
      <c r="J22" s="3">
        <f>IF($C22=0,"",SUMIFS(Tbl_Contributions[المسحوبات (تتضمن رد رأس المال والأرباح)], Tbl_Contributions[اسم المشروع], $D$5, Tbl_Contributions[اسم المساهم], $B22))</f>
        <v>0</v>
      </c>
      <c r="K22" s="3">
        <f t="shared" si="0"/>
        <v>257070</v>
      </c>
    </row>
    <row r="23" spans="2:11" x14ac:dyDescent="0.25">
      <c r="B23" s="3" t="str">
        <f>IFERROR(INDEX(Tbl_Investors[اسم المساهم], 12), "")</f>
        <v>امدحت</v>
      </c>
      <c r="C23" s="3">
        <f>IF($B23="","",SUMIFS(Tbl_Contributions[رأس مال المساهم], Tbl_Contributions[اسم المشروع], $D$5, Tbl_Contributions[اسم المساهم], $B23))</f>
        <v>750000</v>
      </c>
      <c r="D23" s="4">
        <f>IF($C23=0,"",$C23/SUMIFS(Tbl_Contributions[رأس مال المساهم], Tbl_Contributions[اسم المشروع], $D$5))</f>
        <v>0.05</v>
      </c>
      <c r="E23" s="4">
        <f>IF($C23=0,"",SUMIFS(Tbl_Contributions[نسبة الإدارة الخاصة به], Tbl_Contributions[اسم المشروع], $D$5, Tbl_Contributions[اسم المساهم], $B23))</f>
        <v>0.2</v>
      </c>
      <c r="F23" s="3">
        <f>IF($C23=0,"",SUMIFS(Tbl_Contributions[حصة الربح قبل الإدارة], Tbl_Contributions[اسم المشروع], $D$5, Tbl_Contributions[اسم المساهم], $B23))</f>
        <v>-321550</v>
      </c>
      <c r="G23" s="3">
        <f>IF($C23=0,"",SUMIFS(Tbl_Contributions[نصيب الإدارة], Tbl_Contributions[اسم المشروع], $D$5, Tbl_Contributions[اسم المساهم], $B23))</f>
        <v>0</v>
      </c>
      <c r="H23" s="3">
        <f>IF($C23=0,"",SUMIFS(Tbl_Contributions[صافي ربح المساهم], Tbl_Contributions[اسم المشروع], $D$5, Tbl_Contributions[اسم المساهم], $B23))</f>
        <v>-321550</v>
      </c>
      <c r="I23" s="3">
        <f>IF($C23=0,"",SUMIFS(Tbl_Contributions[إجمالي المستحق للمساهم], Tbl_Contributions[اسم المشروع], $D$5, Tbl_Contributions[اسم المساهم], $B23))</f>
        <v>428450</v>
      </c>
      <c r="J23" s="3">
        <f>IF($C23=0,"",SUMIFS(Tbl_Contributions[المسحوبات (تتضمن رد رأس المال والأرباح)], Tbl_Contributions[اسم المشروع], $D$5, Tbl_Contributions[اسم المساهم], $B23))</f>
        <v>0</v>
      </c>
      <c r="K23" s="3">
        <f t="shared" si="0"/>
        <v>428450</v>
      </c>
    </row>
    <row r="24" spans="2:11" x14ac:dyDescent="0.25">
      <c r="B24" s="3" t="str">
        <f>IFERROR(INDEX(Tbl_Investors[اسم المساهم], 13), "")</f>
        <v>الحاج خلف الارض</v>
      </c>
      <c r="C24" s="3">
        <f>IF($B24="","",SUMIFS(Tbl_Contributions[رأس مال المساهم], Tbl_Contributions[اسم المشروع], $D$5, Tbl_Contributions[اسم المساهم], $B24))</f>
        <v>795000</v>
      </c>
      <c r="D24" s="4">
        <f>IF($C24=0,"",$C24/SUMIFS(Tbl_Contributions[رأس مال المساهم], Tbl_Contributions[اسم المشروع], $D$5))</f>
        <v>5.2999999999999999E-2</v>
      </c>
      <c r="E24" s="4">
        <f>IF($C24=0,"",SUMIFS(Tbl_Contributions[نسبة الإدارة الخاصة به], Tbl_Contributions[اسم المشروع], $D$5, Tbl_Contributions[اسم المساهم], $B24))</f>
        <v>0.2</v>
      </c>
      <c r="F24" s="3">
        <f>IF($C24=0,"",SUMIFS(Tbl_Contributions[حصة الربح قبل الإدارة], Tbl_Contributions[اسم المشروع], $D$5, Tbl_Contributions[اسم المساهم], $B24))</f>
        <v>-340843</v>
      </c>
      <c r="G24" s="3">
        <f>IF($C24=0,"",SUMIFS(Tbl_Contributions[نصيب الإدارة], Tbl_Contributions[اسم المشروع], $D$5, Tbl_Contributions[اسم المساهم], $B24))</f>
        <v>0</v>
      </c>
      <c r="H24" s="3">
        <f>IF($C24=0,"",SUMIFS(Tbl_Contributions[صافي ربح المساهم], Tbl_Contributions[اسم المشروع], $D$5, Tbl_Contributions[اسم المساهم], $B24))</f>
        <v>-340843</v>
      </c>
      <c r="I24" s="3">
        <f>IF($C24=0,"",SUMIFS(Tbl_Contributions[إجمالي المستحق للمساهم], Tbl_Contributions[اسم المشروع], $D$5, Tbl_Contributions[اسم المساهم], $B24))</f>
        <v>454157</v>
      </c>
      <c r="J24" s="3">
        <f>IF($C24=0,"",SUMIFS(Tbl_Contributions[المسحوبات (تتضمن رد رأس المال والأرباح)], Tbl_Contributions[اسم المشروع], $D$5, Tbl_Contributions[اسم المساهم], $B24))</f>
        <v>0</v>
      </c>
      <c r="K24" s="3">
        <f t="shared" si="0"/>
        <v>454157</v>
      </c>
    </row>
    <row r="25" spans="2:11" x14ac:dyDescent="0.25">
      <c r="B25" s="3" t="str">
        <f>IFERROR(INDEX(Tbl_Investors[اسم المساهم], 14), "")</f>
        <v>على سوهاج</v>
      </c>
      <c r="C25" s="3">
        <f>IF($B25="","",SUMIFS(Tbl_Contributions[رأس مال المساهم], Tbl_Contributions[اسم المشروع], $D$5, Tbl_Contributions[اسم المساهم], $B25))</f>
        <v>0</v>
      </c>
      <c r="D25" s="4" t="str">
        <f>IF($C25=0,"",$C25/SUMIFS(Tbl_Contributions[رأس مال المساهم], Tbl_Contributions[اسم المشروع], $D$5))</f>
        <v/>
      </c>
      <c r="E25" s="4" t="str">
        <f>IF($C25=0,"",SUMIFS(Tbl_Contributions[نسبة الإدارة الخاصة به], Tbl_Contributions[اسم المشروع], $D$5, Tbl_Contributions[اسم المساهم], $B25))</f>
        <v/>
      </c>
      <c r="F25" s="3" t="str">
        <f>IF($C25=0,"",SUMIFS(Tbl_Contributions[حصة الربح قبل الإدارة], Tbl_Contributions[اسم المشروع], $D$5, Tbl_Contributions[اسم المساهم], $B25))</f>
        <v/>
      </c>
      <c r="G25" s="3" t="str">
        <f>IF($C25=0,"",SUMIFS(Tbl_Contributions[نصيب الإدارة], Tbl_Contributions[اسم المشروع], $D$5, Tbl_Contributions[اسم المساهم], $B25))</f>
        <v/>
      </c>
      <c r="H25" s="3" t="str">
        <f>IF($C25=0,"",SUMIFS(Tbl_Contributions[صافي ربح المساهم], Tbl_Contributions[اسم المشروع], $D$5, Tbl_Contributions[اسم المساهم], $B25))</f>
        <v/>
      </c>
      <c r="I25" s="3" t="str">
        <f>IF($C25=0,"",SUMIFS(Tbl_Contributions[إجمالي المستحق للمساهم], Tbl_Contributions[اسم المشروع], $D$5, Tbl_Contributions[اسم المساهم], $B25))</f>
        <v/>
      </c>
      <c r="J25" s="3" t="str">
        <f>IF($C25=0,"",SUMIFS(Tbl_Contributions[المسحوبات (تتضمن رد رأس المال والأرباح)], Tbl_Contributions[اسم المشروع], $D$5, Tbl_Contributions[اسم المساهم], $B25))</f>
        <v/>
      </c>
      <c r="K25" s="3" t="str">
        <f t="shared" si="0"/>
        <v/>
      </c>
    </row>
    <row r="26" spans="2:11" x14ac:dyDescent="0.25">
      <c r="B26" s="3" t="str">
        <f>IFERROR(INDEX(Tbl_Investors[اسم المساهم], 15), "")</f>
        <v>امجد تكييف</v>
      </c>
      <c r="C26" s="3">
        <f>IF($B26="","",SUMIFS(Tbl_Contributions[رأس مال المساهم], Tbl_Contributions[اسم المشروع], $D$5, Tbl_Contributions[اسم المساهم], $B26))</f>
        <v>0</v>
      </c>
      <c r="D26" s="4" t="str">
        <f>IF($C26=0,"",$C26/SUMIFS(Tbl_Contributions[رأس مال المساهم], Tbl_Contributions[اسم المشروع], $D$5))</f>
        <v/>
      </c>
      <c r="E26" s="4" t="str">
        <f>IF($C26=0,"",SUMIFS(Tbl_Contributions[نسبة الإدارة الخاصة به], Tbl_Contributions[اسم المشروع], $D$5, Tbl_Contributions[اسم المساهم], $B26))</f>
        <v/>
      </c>
      <c r="F26" s="3" t="str">
        <f>IF($C26=0,"",SUMIFS(Tbl_Contributions[حصة الربح قبل الإدارة], Tbl_Contributions[اسم المشروع], $D$5, Tbl_Contributions[اسم المساهم], $B26))</f>
        <v/>
      </c>
      <c r="G26" s="3" t="str">
        <f>IF($C26=0,"",SUMIFS(Tbl_Contributions[نصيب الإدارة], Tbl_Contributions[اسم المشروع], $D$5, Tbl_Contributions[اسم المساهم], $B26))</f>
        <v/>
      </c>
      <c r="H26" s="3" t="str">
        <f>IF($C26=0,"",SUMIFS(Tbl_Contributions[صافي ربح المساهم], Tbl_Contributions[اسم المشروع], $D$5, Tbl_Contributions[اسم المساهم], $B26))</f>
        <v/>
      </c>
      <c r="I26" s="3" t="str">
        <f>IF($C26=0,"",SUMIFS(Tbl_Contributions[إجمالي المستحق للمساهم], Tbl_Contributions[اسم المشروع], $D$5, Tbl_Contributions[اسم المساهم], $B26))</f>
        <v/>
      </c>
      <c r="J26" s="3" t="str">
        <f>IF($C26=0,"",SUMIFS(Tbl_Contributions[المسحوبات (تتضمن رد رأس المال والأرباح)], Tbl_Contributions[اسم المشروع], $D$5, Tbl_Contributions[اسم المساهم], $B26))</f>
        <v/>
      </c>
      <c r="K26" s="3" t="str">
        <f t="shared" si="0"/>
        <v/>
      </c>
    </row>
    <row r="27" spans="2:11" x14ac:dyDescent="0.25">
      <c r="B27" s="3" t="str">
        <f>IFERROR(INDEX(Tbl_Investors[اسم المساهم], 16), "")</f>
        <v>محمد رجب</v>
      </c>
      <c r="C27" s="3">
        <f>IF($B27="","",SUMIFS(Tbl_Contributions[رأس مال المساهم], Tbl_Contributions[اسم المشروع], $D$5, Tbl_Contributions[اسم المساهم], $B27))</f>
        <v>0</v>
      </c>
      <c r="D27" s="4" t="str">
        <f>IF($C27=0,"",$C27/SUMIFS(Tbl_Contributions[رأس مال المساهم], Tbl_Contributions[اسم المشروع], $D$5))</f>
        <v/>
      </c>
      <c r="E27" s="4" t="str">
        <f>IF($C27=0,"",SUMIFS(Tbl_Contributions[نسبة الإدارة الخاصة به], Tbl_Contributions[اسم المشروع], $D$5, Tbl_Contributions[اسم المساهم], $B27))</f>
        <v/>
      </c>
      <c r="F27" s="3" t="str">
        <f>IF($C27=0,"",SUMIFS(Tbl_Contributions[حصة الربح قبل الإدارة], Tbl_Contributions[اسم المشروع], $D$5, Tbl_Contributions[اسم المساهم], $B27))</f>
        <v/>
      </c>
      <c r="G27" s="3" t="str">
        <f>IF($C27=0,"",SUMIFS(Tbl_Contributions[نصيب الإدارة], Tbl_Contributions[اسم المشروع], $D$5, Tbl_Contributions[اسم المساهم], $B27))</f>
        <v/>
      </c>
      <c r="H27" s="3" t="str">
        <f>IF($C27=0,"",SUMIFS(Tbl_Contributions[صافي ربح المساهم], Tbl_Contributions[اسم المشروع], $D$5, Tbl_Contributions[اسم المساهم], $B27))</f>
        <v/>
      </c>
      <c r="I27" s="3" t="str">
        <f>IF($C27=0,"",SUMIFS(Tbl_Contributions[إجمالي المستحق للمساهم], Tbl_Contributions[اسم المشروع], $D$5, Tbl_Contributions[اسم المساهم], $B27))</f>
        <v/>
      </c>
      <c r="J27" s="3" t="str">
        <f>IF($C27=0,"",SUMIFS(Tbl_Contributions[المسحوبات (تتضمن رد رأس المال والأرباح)], Tbl_Contributions[اسم المشروع], $D$5, Tbl_Contributions[اسم المساهم], $B27))</f>
        <v/>
      </c>
      <c r="K27" s="3" t="str">
        <f t="shared" si="0"/>
        <v/>
      </c>
    </row>
    <row r="28" spans="2:11" x14ac:dyDescent="0.25">
      <c r="B28" s="3" t="str">
        <f>IFERROR(INDEX(Tbl_Investors[اسم المساهم], 17), "")</f>
        <v>احمد محمد رشدى</v>
      </c>
      <c r="C28" s="3">
        <f>IF($B28="","",SUMIFS(Tbl_Contributions[رأس مال المساهم], Tbl_Contributions[اسم المشروع], $D$5, Tbl_Contributions[اسم المساهم], $B28))</f>
        <v>0</v>
      </c>
      <c r="D28" s="4" t="str">
        <f>IF($C28=0,"",$C28/SUMIFS(Tbl_Contributions[رأس مال المساهم], Tbl_Contributions[اسم المشروع], $D$5))</f>
        <v/>
      </c>
      <c r="E28" s="4" t="str">
        <f>IF($C28=0,"",SUMIFS(Tbl_Contributions[نسبة الإدارة الخاصة به], Tbl_Contributions[اسم المشروع], $D$5, Tbl_Contributions[اسم المساهم], $B28))</f>
        <v/>
      </c>
      <c r="F28" s="3" t="str">
        <f>IF($C28=0,"",SUMIFS(Tbl_Contributions[حصة الربح قبل الإدارة], Tbl_Contributions[اسم المشروع], $D$5, Tbl_Contributions[اسم المساهم], $B28))</f>
        <v/>
      </c>
      <c r="G28" s="3" t="str">
        <f>IF($C28=0,"",SUMIFS(Tbl_Contributions[نصيب الإدارة], Tbl_Contributions[اسم المشروع], $D$5, Tbl_Contributions[اسم المساهم], $B28))</f>
        <v/>
      </c>
      <c r="H28" s="3" t="str">
        <f>IF($C28=0,"",SUMIFS(Tbl_Contributions[صافي ربح المساهم], Tbl_Contributions[اسم المشروع], $D$5, Tbl_Contributions[اسم المساهم], $B28))</f>
        <v/>
      </c>
      <c r="I28" s="3" t="str">
        <f>IF($C28=0,"",SUMIFS(Tbl_Contributions[إجمالي المستحق للمساهم], Tbl_Contributions[اسم المشروع], $D$5, Tbl_Contributions[اسم المساهم], $B28))</f>
        <v/>
      </c>
      <c r="J28" s="3" t="str">
        <f>IF($C28=0,"",SUMIFS(Tbl_Contributions[المسحوبات (تتضمن رد رأس المال والأرباح)], Tbl_Contributions[اسم المشروع], $D$5, Tbl_Contributions[اسم المساهم], $B28))</f>
        <v/>
      </c>
      <c r="K28" s="3" t="str">
        <f t="shared" si="0"/>
        <v/>
      </c>
    </row>
    <row r="29" spans="2:11" x14ac:dyDescent="0.25">
      <c r="B29" s="3" t="str">
        <f>IFERROR(INDEX(Tbl_Investors[اسم المساهم], 18), "")</f>
        <v xml:space="preserve">اشرف خلف الشقة </v>
      </c>
      <c r="C29" s="3">
        <f>IF($B29="","",SUMIFS(Tbl_Contributions[رأس مال المساهم], Tbl_Contributions[اسم المشروع], $D$5, Tbl_Contributions[اسم المساهم], $B29))</f>
        <v>0</v>
      </c>
      <c r="D29" s="4" t="str">
        <f>IF($C29=0,"",$C29/SUMIFS(Tbl_Contributions[رأس مال المساهم], Tbl_Contributions[اسم المشروع], $D$5))</f>
        <v/>
      </c>
      <c r="E29" s="4" t="str">
        <f>IF($C29=0,"",SUMIFS(Tbl_Contributions[نسبة الإدارة الخاصة به], Tbl_Contributions[اسم المشروع], $D$5, Tbl_Contributions[اسم المساهم], $B29))</f>
        <v/>
      </c>
      <c r="F29" s="3" t="str">
        <f>IF($C29=0,"",SUMIFS(Tbl_Contributions[حصة الربح قبل الإدارة], Tbl_Contributions[اسم المشروع], $D$5, Tbl_Contributions[اسم المساهم], $B29))</f>
        <v/>
      </c>
      <c r="G29" s="3" t="str">
        <f>IF($C29=0,"",SUMIFS(Tbl_Contributions[نصيب الإدارة], Tbl_Contributions[اسم المشروع], $D$5, Tbl_Contributions[اسم المساهم], $B29))</f>
        <v/>
      </c>
      <c r="H29" s="3" t="str">
        <f>IF($C29=0,"",SUMIFS(Tbl_Contributions[صافي ربح المساهم], Tbl_Contributions[اسم المشروع], $D$5, Tbl_Contributions[اسم المساهم], $B29))</f>
        <v/>
      </c>
      <c r="I29" s="3" t="str">
        <f>IF($C29=0,"",SUMIFS(Tbl_Contributions[إجمالي المستحق للمساهم], Tbl_Contributions[اسم المشروع], $D$5, Tbl_Contributions[اسم المساهم], $B29))</f>
        <v/>
      </c>
      <c r="J29" s="3" t="str">
        <f>IF($C29=0,"",SUMIFS(Tbl_Contributions[المسحوبات (تتضمن رد رأس المال والأرباح)], Tbl_Contributions[اسم المشروع], $D$5, Tbl_Contributions[اسم المساهم], $B29))</f>
        <v/>
      </c>
      <c r="K29" s="3" t="str">
        <f t="shared" si="0"/>
        <v/>
      </c>
    </row>
    <row r="30" spans="2:11" x14ac:dyDescent="0.25">
      <c r="B30" s="3" t="str">
        <f>IFERROR(INDEX(Tbl_Investors[اسم المساهم], 19), "")</f>
        <v>محمد سامى</v>
      </c>
      <c r="C30" s="3">
        <f>IF($B30="","",SUMIFS(Tbl_Contributions[رأس مال المساهم], Tbl_Contributions[اسم المشروع], $D$5, Tbl_Contributions[اسم المساهم], $B30))</f>
        <v>0</v>
      </c>
      <c r="D30" s="4" t="str">
        <f>IF($C30=0,"",$C30/SUMIFS(Tbl_Contributions[رأس مال المساهم], Tbl_Contributions[اسم المشروع], $D$5))</f>
        <v/>
      </c>
      <c r="E30" s="4" t="str">
        <f>IF($C30=0,"",SUMIFS(Tbl_Contributions[نسبة الإدارة الخاصة به], Tbl_Contributions[اسم المشروع], $D$5, Tbl_Contributions[اسم المساهم], $B30))</f>
        <v/>
      </c>
      <c r="F30" s="3" t="str">
        <f>IF($C30=0,"",SUMIFS(Tbl_Contributions[حصة الربح قبل الإدارة], Tbl_Contributions[اسم المشروع], $D$5, Tbl_Contributions[اسم المساهم], $B30))</f>
        <v/>
      </c>
      <c r="G30" s="3" t="str">
        <f>IF($C30=0,"",SUMIFS(Tbl_Contributions[نصيب الإدارة], Tbl_Contributions[اسم المشروع], $D$5, Tbl_Contributions[اسم المساهم], $B30))</f>
        <v/>
      </c>
      <c r="H30" s="3" t="str">
        <f>IF($C30=0,"",SUMIFS(Tbl_Contributions[صافي ربح المساهم], Tbl_Contributions[اسم المشروع], $D$5, Tbl_Contributions[اسم المساهم], $B30))</f>
        <v/>
      </c>
      <c r="I30" s="3" t="str">
        <f>IF($C30=0,"",SUMIFS(Tbl_Contributions[إجمالي المستحق للمساهم], Tbl_Contributions[اسم المشروع], $D$5, Tbl_Contributions[اسم المساهم], $B30))</f>
        <v/>
      </c>
      <c r="J30" s="3" t="str">
        <f>IF($C30=0,"",SUMIFS(Tbl_Contributions[المسحوبات (تتضمن رد رأس المال والأرباح)], Tbl_Contributions[اسم المشروع], $D$5, Tbl_Contributions[اسم المساهم], $B30))</f>
        <v/>
      </c>
      <c r="K30" s="3" t="str">
        <f t="shared" si="0"/>
        <v/>
      </c>
    </row>
    <row r="31" spans="2:11" x14ac:dyDescent="0.25">
      <c r="B31" s="3" t="str">
        <f>IFERROR(INDEX(Tbl_Investors[اسم المساهم], 20), "")</f>
        <v>حسن رمضان</v>
      </c>
      <c r="C31" s="3">
        <f>IF($B31="","",SUMIFS(Tbl_Contributions[رأس مال المساهم], Tbl_Contributions[اسم المشروع], $D$5, Tbl_Contributions[اسم المساهم], $B31))</f>
        <v>0</v>
      </c>
      <c r="D31" s="4" t="str">
        <f>IF($C31=0,"",$C31/SUMIFS(Tbl_Contributions[رأس مال المساهم], Tbl_Contributions[اسم المشروع], $D$5))</f>
        <v/>
      </c>
      <c r="E31" s="4" t="str">
        <f>IF($C31=0,"",SUMIFS(Tbl_Contributions[نسبة الإدارة الخاصة به], Tbl_Contributions[اسم المشروع], $D$5, Tbl_Contributions[اسم المساهم], $B31))</f>
        <v/>
      </c>
      <c r="F31" s="3" t="str">
        <f>IF($C31=0,"",SUMIFS(Tbl_Contributions[حصة الربح قبل الإدارة], Tbl_Contributions[اسم المشروع], $D$5, Tbl_Contributions[اسم المساهم], $B31))</f>
        <v/>
      </c>
      <c r="G31" s="3" t="str">
        <f>IF($C31=0,"",SUMIFS(Tbl_Contributions[نصيب الإدارة], Tbl_Contributions[اسم المشروع], $D$5, Tbl_Contributions[اسم المساهم], $B31))</f>
        <v/>
      </c>
      <c r="H31" s="3" t="str">
        <f>IF($C31=0,"",SUMIFS(Tbl_Contributions[صافي ربح المساهم], Tbl_Contributions[اسم المشروع], $D$5, Tbl_Contributions[اسم المساهم], $B31))</f>
        <v/>
      </c>
      <c r="I31" s="3" t="str">
        <f>IF($C31=0,"",SUMIFS(Tbl_Contributions[إجمالي المستحق للمساهم], Tbl_Contributions[اسم المشروع], $D$5, Tbl_Contributions[اسم المساهم], $B31))</f>
        <v/>
      </c>
      <c r="J31" s="3" t="str">
        <f>IF($C31=0,"",SUMIFS(Tbl_Contributions[المسحوبات (تتضمن رد رأس المال والأرباح)], Tbl_Contributions[اسم المشروع], $D$5, Tbl_Contributions[اسم المساهم], $B31))</f>
        <v/>
      </c>
      <c r="K31" s="3" t="str">
        <f t="shared" si="0"/>
        <v/>
      </c>
    </row>
    <row r="32" spans="2:11" x14ac:dyDescent="0.25">
      <c r="B32" s="3" t="str">
        <f>IFERROR(INDEX(Tbl_Investors[اسم المساهم], 21), "")</f>
        <v>مصطفى السيد</v>
      </c>
      <c r="C32" s="3">
        <f>IF($B32="","",SUMIFS(Tbl_Contributions[رأس مال المساهم], Tbl_Contributions[اسم المشروع], $D$5, Tbl_Contributions[اسم المساهم], $B32))</f>
        <v>0</v>
      </c>
      <c r="D32" s="4" t="str">
        <f>IF($C32=0,"",$C32/SUMIFS(Tbl_Contributions[رأس مال المساهم], Tbl_Contributions[اسم المشروع], $D$5))</f>
        <v/>
      </c>
      <c r="E32" s="4" t="str">
        <f>IF($C32=0,"",SUMIFS(Tbl_Contributions[نسبة الإدارة الخاصة به], Tbl_Contributions[اسم المشروع], $D$5, Tbl_Contributions[اسم المساهم], $B32))</f>
        <v/>
      </c>
      <c r="F32" s="3" t="str">
        <f>IF($C32=0,"",SUMIFS(Tbl_Contributions[حصة الربح قبل الإدارة], Tbl_Contributions[اسم المشروع], $D$5, Tbl_Contributions[اسم المساهم], $B32))</f>
        <v/>
      </c>
      <c r="G32" s="3" t="str">
        <f>IF($C32=0,"",SUMIFS(Tbl_Contributions[نصيب الإدارة], Tbl_Contributions[اسم المشروع], $D$5, Tbl_Contributions[اسم المساهم], $B32))</f>
        <v/>
      </c>
      <c r="H32" s="3" t="str">
        <f>IF($C32=0,"",SUMIFS(Tbl_Contributions[صافي ربح المساهم], Tbl_Contributions[اسم المشروع], $D$5, Tbl_Contributions[اسم المساهم], $B32))</f>
        <v/>
      </c>
      <c r="I32" s="3" t="str">
        <f>IF($C32=0,"",SUMIFS(Tbl_Contributions[إجمالي المستحق للمساهم], Tbl_Contributions[اسم المشروع], $D$5, Tbl_Contributions[اسم المساهم], $B32))</f>
        <v/>
      </c>
      <c r="J32" s="3" t="str">
        <f>IF($C32=0,"",SUMIFS(Tbl_Contributions[المسحوبات (تتضمن رد رأس المال والأرباح)], Tbl_Contributions[اسم المشروع], $D$5, Tbl_Contributions[اسم المساهم], $B32))</f>
        <v/>
      </c>
      <c r="K32" s="3" t="str">
        <f t="shared" si="0"/>
        <v/>
      </c>
    </row>
    <row r="33" spans="2:11" x14ac:dyDescent="0.25">
      <c r="B33" s="3" t="str">
        <f>IFERROR(INDEX(Tbl_Investors[اسم المساهم], 22), "")</f>
        <v>محمود محمد السيد</v>
      </c>
      <c r="C33" s="3">
        <f>IF($B33="","",SUMIFS(Tbl_Contributions[رأس مال المساهم], Tbl_Contributions[اسم المشروع], $D$5, Tbl_Contributions[اسم المساهم], $B33))</f>
        <v>0</v>
      </c>
      <c r="D33" s="4" t="str">
        <f>IF($C33=0,"",$C33/SUMIFS(Tbl_Contributions[رأس مال المساهم], Tbl_Contributions[اسم المشروع], $D$5))</f>
        <v/>
      </c>
      <c r="E33" s="4" t="str">
        <f>IF($C33=0,"",SUMIFS(Tbl_Contributions[نسبة الإدارة الخاصة به], Tbl_Contributions[اسم المشروع], $D$5, Tbl_Contributions[اسم المساهم], $B33))</f>
        <v/>
      </c>
      <c r="F33" s="3" t="str">
        <f>IF($C33=0,"",SUMIFS(Tbl_Contributions[حصة الربح قبل الإدارة], Tbl_Contributions[اسم المشروع], $D$5, Tbl_Contributions[اسم المساهم], $B33))</f>
        <v/>
      </c>
      <c r="G33" s="3" t="str">
        <f>IF($C33=0,"",SUMIFS(Tbl_Contributions[نصيب الإدارة], Tbl_Contributions[اسم المشروع], $D$5, Tbl_Contributions[اسم المساهم], $B33))</f>
        <v/>
      </c>
      <c r="H33" s="3" t="str">
        <f>IF($C33=0,"",SUMIFS(Tbl_Contributions[صافي ربح المساهم], Tbl_Contributions[اسم المشروع], $D$5, Tbl_Contributions[اسم المساهم], $B33))</f>
        <v/>
      </c>
      <c r="I33" s="3" t="str">
        <f>IF($C33=0,"",SUMIFS(Tbl_Contributions[إجمالي المستحق للمساهم], Tbl_Contributions[اسم المشروع], $D$5, Tbl_Contributions[اسم المساهم], $B33))</f>
        <v/>
      </c>
      <c r="J33" s="3" t="str">
        <f>IF($C33=0,"",SUMIFS(Tbl_Contributions[المسحوبات (تتضمن رد رأس المال والأرباح)], Tbl_Contributions[اسم المشروع], $D$5, Tbl_Contributions[اسم المساهم], $B33))</f>
        <v/>
      </c>
      <c r="K33" s="3" t="str">
        <f t="shared" si="0"/>
        <v/>
      </c>
    </row>
    <row r="34" spans="2:11" x14ac:dyDescent="0.25">
      <c r="B34" s="3" t="str">
        <f>IFERROR(INDEX(Tbl_Investors[اسم المساهم], 23), "")</f>
        <v>محمد عبدالرازق</v>
      </c>
      <c r="C34" s="3">
        <f>IF($B34="","",SUMIFS(Tbl_Contributions[رأس مال المساهم], Tbl_Contributions[اسم المشروع], $D$5, Tbl_Contributions[اسم المساهم], $B34))</f>
        <v>0</v>
      </c>
      <c r="D34" s="4" t="str">
        <f>IF($C34=0,"",$C34/SUMIFS(Tbl_Contributions[رأس مال المساهم], Tbl_Contributions[اسم المشروع], $D$5))</f>
        <v/>
      </c>
      <c r="E34" s="4" t="str">
        <f>IF($C34=0,"",SUMIFS(Tbl_Contributions[نسبة الإدارة الخاصة به], Tbl_Contributions[اسم المشروع], $D$5, Tbl_Contributions[اسم المساهم], $B34))</f>
        <v/>
      </c>
      <c r="F34" s="3" t="str">
        <f>IF($C34=0,"",SUMIFS(Tbl_Contributions[حصة الربح قبل الإدارة], Tbl_Contributions[اسم المشروع], $D$5, Tbl_Contributions[اسم المساهم], $B34))</f>
        <v/>
      </c>
      <c r="G34" s="3" t="str">
        <f>IF($C34=0,"",SUMIFS(Tbl_Contributions[نصيب الإدارة], Tbl_Contributions[اسم المشروع], $D$5, Tbl_Contributions[اسم المساهم], $B34))</f>
        <v/>
      </c>
      <c r="H34" s="3" t="str">
        <f>IF($C34=0,"",SUMIFS(Tbl_Contributions[صافي ربح المساهم], Tbl_Contributions[اسم المشروع], $D$5, Tbl_Contributions[اسم المساهم], $B34))</f>
        <v/>
      </c>
      <c r="I34" s="3" t="str">
        <f>IF($C34=0,"",SUMIFS(Tbl_Contributions[إجمالي المستحق للمساهم], Tbl_Contributions[اسم المشروع], $D$5, Tbl_Contributions[اسم المساهم], $B34))</f>
        <v/>
      </c>
      <c r="J34" s="3" t="str">
        <f>IF($C34=0,"",SUMIFS(Tbl_Contributions[المسحوبات (تتضمن رد رأس المال والأرباح)], Tbl_Contributions[اسم المشروع], $D$5, Tbl_Contributions[اسم المساهم], $B34))</f>
        <v/>
      </c>
      <c r="K34" s="3" t="str">
        <f t="shared" si="0"/>
        <v/>
      </c>
    </row>
    <row r="35" spans="2:11" x14ac:dyDescent="0.25">
      <c r="B35" s="3" t="str">
        <f>IFERROR(INDEX(Tbl_Investors[اسم المساهم], 24), "")</f>
        <v>الحاج خلف راضى القراط</v>
      </c>
      <c r="C35" s="3">
        <f>IF($B35="","",SUMIFS(Tbl_Contributions[رأس مال المساهم], Tbl_Contributions[اسم المشروع], $D$5, Tbl_Contributions[اسم المساهم], $B35))</f>
        <v>0</v>
      </c>
      <c r="D35" s="4" t="str">
        <f>IF($C35=0,"",$C35/SUMIFS(Tbl_Contributions[رأس مال المساهم], Tbl_Contributions[اسم المشروع], $D$5))</f>
        <v/>
      </c>
      <c r="E35" s="4" t="str">
        <f>IF($C35=0,"",SUMIFS(Tbl_Contributions[نسبة الإدارة الخاصة به], Tbl_Contributions[اسم المشروع], $D$5, Tbl_Contributions[اسم المساهم], $B35))</f>
        <v/>
      </c>
      <c r="F35" s="3" t="str">
        <f>IF($C35=0,"",SUMIFS(Tbl_Contributions[حصة الربح قبل الإدارة], Tbl_Contributions[اسم المشروع], $D$5, Tbl_Contributions[اسم المساهم], $B35))</f>
        <v/>
      </c>
      <c r="G35" s="3" t="str">
        <f>IF($C35=0,"",SUMIFS(Tbl_Contributions[نصيب الإدارة], Tbl_Contributions[اسم المشروع], $D$5, Tbl_Contributions[اسم المساهم], $B35))</f>
        <v/>
      </c>
      <c r="H35" s="3" t="str">
        <f>IF($C35=0,"",SUMIFS(Tbl_Contributions[صافي ربح المساهم], Tbl_Contributions[اسم المشروع], $D$5, Tbl_Contributions[اسم المساهم], $B35))</f>
        <v/>
      </c>
      <c r="I35" s="3" t="str">
        <f>IF($C35=0,"",SUMIFS(Tbl_Contributions[إجمالي المستحق للمساهم], Tbl_Contributions[اسم المشروع], $D$5, Tbl_Contributions[اسم المساهم], $B35))</f>
        <v/>
      </c>
      <c r="J35" s="3" t="str">
        <f>IF($C35=0,"",SUMIFS(Tbl_Contributions[المسحوبات (تتضمن رد رأس المال والأرباح)], Tbl_Contributions[اسم المشروع], $D$5, Tbl_Contributions[اسم المساهم], $B35))</f>
        <v/>
      </c>
      <c r="K35" s="3" t="str">
        <f t="shared" si="0"/>
        <v/>
      </c>
    </row>
    <row r="36" spans="2:11" x14ac:dyDescent="0.25">
      <c r="B36" s="3" t="str">
        <f>IFERROR(INDEX(Tbl_Investors[اسم المساهم], 25), "")</f>
        <v>رمضان راضى</v>
      </c>
      <c r="C36" s="3">
        <f>IF($B36="","",SUMIFS(Tbl_Contributions[رأس مال المساهم], Tbl_Contributions[اسم المشروع], $D$5, Tbl_Contributions[اسم المساهم], $B36))</f>
        <v>0</v>
      </c>
      <c r="D36" s="4" t="str">
        <f>IF($C36=0,"",$C36/SUMIFS(Tbl_Contributions[رأس مال المساهم], Tbl_Contributions[اسم المشروع], $D$5))</f>
        <v/>
      </c>
      <c r="E36" s="4" t="str">
        <f>IF($C36=0,"",SUMIFS(Tbl_Contributions[نسبة الإدارة الخاصة به], Tbl_Contributions[اسم المشروع], $D$5, Tbl_Contributions[اسم المساهم], $B36))</f>
        <v/>
      </c>
      <c r="F36" s="3" t="str">
        <f>IF($C36=0,"",SUMIFS(Tbl_Contributions[حصة الربح قبل الإدارة], Tbl_Contributions[اسم المشروع], $D$5, Tbl_Contributions[اسم المساهم], $B36))</f>
        <v/>
      </c>
      <c r="G36" s="3" t="str">
        <f>IF($C36=0,"",SUMIFS(Tbl_Contributions[نصيب الإدارة], Tbl_Contributions[اسم المشروع], $D$5, Tbl_Contributions[اسم المساهم], $B36))</f>
        <v/>
      </c>
      <c r="H36" s="3" t="str">
        <f>IF($C36=0,"",SUMIFS(Tbl_Contributions[صافي ربح المساهم], Tbl_Contributions[اسم المشروع], $D$5, Tbl_Contributions[اسم المساهم], $B36))</f>
        <v/>
      </c>
      <c r="I36" s="3" t="str">
        <f>IF($C36=0,"",SUMIFS(Tbl_Contributions[إجمالي المستحق للمساهم], Tbl_Contributions[اسم المشروع], $D$5, Tbl_Contributions[اسم المساهم], $B36))</f>
        <v/>
      </c>
      <c r="J36" s="3" t="str">
        <f>IF($C36=0,"",SUMIFS(Tbl_Contributions[المسحوبات (تتضمن رد رأس المال والأرباح)], Tbl_Contributions[اسم المشروع], $D$5, Tbl_Contributions[اسم المساهم], $B36))</f>
        <v/>
      </c>
      <c r="K36" s="3" t="str">
        <f t="shared" si="0"/>
        <v/>
      </c>
    </row>
    <row r="37" spans="2:11" x14ac:dyDescent="0.25">
      <c r="B37" s="3" t="str">
        <f>IFERROR(INDEX(Tbl_Investors[اسم المساهم], 26), "")</f>
        <v>جمال صابر</v>
      </c>
      <c r="C37" s="3">
        <f>IF($B37="","",SUMIFS(Tbl_Contributions[رأس مال المساهم], Tbl_Contributions[اسم المشروع], $D$5, Tbl_Contributions[اسم المساهم], $B37))</f>
        <v>0</v>
      </c>
      <c r="D37" s="4" t="str">
        <f>IF($C37=0,"",$C37/SUMIFS(Tbl_Contributions[رأس مال المساهم], Tbl_Contributions[اسم المشروع], $D$5))</f>
        <v/>
      </c>
      <c r="E37" s="4" t="str">
        <f>IF($C37=0,"",SUMIFS(Tbl_Contributions[نسبة الإدارة الخاصة به], Tbl_Contributions[اسم المشروع], $D$5, Tbl_Contributions[اسم المساهم], $B37))</f>
        <v/>
      </c>
      <c r="F37" s="3" t="str">
        <f>IF($C37=0,"",SUMIFS(Tbl_Contributions[حصة الربح قبل الإدارة], Tbl_Contributions[اسم المشروع], $D$5, Tbl_Contributions[اسم المساهم], $B37))</f>
        <v/>
      </c>
      <c r="G37" s="3" t="str">
        <f>IF($C37=0,"",SUMIFS(Tbl_Contributions[نصيب الإدارة], Tbl_Contributions[اسم المشروع], $D$5, Tbl_Contributions[اسم المساهم], $B37))</f>
        <v/>
      </c>
      <c r="H37" s="3" t="str">
        <f>IF($C37=0,"",SUMIFS(Tbl_Contributions[صافي ربح المساهم], Tbl_Contributions[اسم المشروع], $D$5, Tbl_Contributions[اسم المساهم], $B37))</f>
        <v/>
      </c>
      <c r="I37" s="3" t="str">
        <f>IF($C37=0,"",SUMIFS(Tbl_Contributions[إجمالي المستحق للمساهم], Tbl_Contributions[اسم المشروع], $D$5, Tbl_Contributions[اسم المساهم], $B37))</f>
        <v/>
      </c>
      <c r="J37" s="3" t="str">
        <f>IF($C37=0,"",SUMIFS(Tbl_Contributions[المسحوبات (تتضمن رد رأس المال والأرباح)], Tbl_Contributions[اسم المشروع], $D$5, Tbl_Contributions[اسم المساهم], $B37))</f>
        <v/>
      </c>
      <c r="K37" s="3" t="str">
        <f t="shared" si="0"/>
        <v/>
      </c>
    </row>
    <row r="38" spans="2:11" x14ac:dyDescent="0.25">
      <c r="B38" s="3" t="str">
        <f>IFERROR(INDEX(Tbl_Investors[اسم المساهم], 27), "")</f>
        <v>ا/ تامر</v>
      </c>
      <c r="C38" s="3">
        <f>IF($B38="","",SUMIFS(Tbl_Contributions[رأس مال المساهم], Tbl_Contributions[اسم المشروع], $D$5, Tbl_Contributions[اسم المساهم], $B38))</f>
        <v>0</v>
      </c>
      <c r="D38" s="4" t="str">
        <f>IF($C38=0,"",$C38/SUMIFS(Tbl_Contributions[رأس مال المساهم], Tbl_Contributions[اسم المشروع], $D$5))</f>
        <v/>
      </c>
      <c r="E38" s="4" t="str">
        <f>IF($C38=0,"",SUMIFS(Tbl_Contributions[نسبة الإدارة الخاصة به], Tbl_Contributions[اسم المشروع], $D$5, Tbl_Contributions[اسم المساهم], $B38))</f>
        <v/>
      </c>
      <c r="F38" s="3" t="str">
        <f>IF($C38=0,"",SUMIFS(Tbl_Contributions[حصة الربح قبل الإدارة], Tbl_Contributions[اسم المشروع], $D$5, Tbl_Contributions[اسم المساهم], $B38))</f>
        <v/>
      </c>
      <c r="G38" s="3" t="str">
        <f>IF($C38=0,"",SUMIFS(Tbl_Contributions[نصيب الإدارة], Tbl_Contributions[اسم المشروع], $D$5, Tbl_Contributions[اسم المساهم], $B38))</f>
        <v/>
      </c>
      <c r="H38" s="3" t="str">
        <f>IF($C38=0,"",SUMIFS(Tbl_Contributions[صافي ربح المساهم], Tbl_Contributions[اسم المشروع], $D$5, Tbl_Contributions[اسم المساهم], $B38))</f>
        <v/>
      </c>
      <c r="I38" s="3" t="str">
        <f>IF($C38=0,"",SUMIFS(Tbl_Contributions[إجمالي المستحق للمساهم], Tbl_Contributions[اسم المشروع], $D$5, Tbl_Contributions[اسم المساهم], $B38))</f>
        <v/>
      </c>
      <c r="J38" s="3" t="str">
        <f>IF($C38=0,"",SUMIFS(Tbl_Contributions[المسحوبات (تتضمن رد رأس المال والأرباح)], Tbl_Contributions[اسم المشروع], $D$5, Tbl_Contributions[اسم المساهم], $B38))</f>
        <v/>
      </c>
      <c r="K38" s="3" t="str">
        <f t="shared" si="0"/>
        <v/>
      </c>
    </row>
    <row r="39" spans="2:11" x14ac:dyDescent="0.25">
      <c r="B39" s="3" t="str">
        <f>IFERROR(INDEX(Tbl_Investors[اسم المساهم], 28), "")</f>
        <v>م ماجد تكييف</v>
      </c>
      <c r="C39" s="3">
        <f>IF($B39="","",SUMIFS(Tbl_Contributions[رأس مال المساهم], Tbl_Contributions[اسم المشروع], $D$5, Tbl_Contributions[اسم المساهم], $B39))</f>
        <v>0</v>
      </c>
      <c r="D39" s="4" t="str">
        <f>IF($C39=0,"",$C39/SUMIFS(Tbl_Contributions[رأس مال المساهم], Tbl_Contributions[اسم المشروع], $D$5))</f>
        <v/>
      </c>
      <c r="E39" s="4" t="str">
        <f>IF($C39=0,"",SUMIFS(Tbl_Contributions[نسبة الإدارة الخاصة به], Tbl_Contributions[اسم المشروع], $D$5, Tbl_Contributions[اسم المساهم], $B39))</f>
        <v/>
      </c>
      <c r="F39" s="3" t="str">
        <f>IF($C39=0,"",SUMIFS(Tbl_Contributions[حصة الربح قبل الإدارة], Tbl_Contributions[اسم المشروع], $D$5, Tbl_Contributions[اسم المساهم], $B39))</f>
        <v/>
      </c>
      <c r="G39" s="3" t="str">
        <f>IF($C39=0,"",SUMIFS(Tbl_Contributions[نصيب الإدارة], Tbl_Contributions[اسم المشروع], $D$5, Tbl_Contributions[اسم المساهم], $B39))</f>
        <v/>
      </c>
      <c r="H39" s="3" t="str">
        <f>IF($C39=0,"",SUMIFS(Tbl_Contributions[صافي ربح المساهم], Tbl_Contributions[اسم المشروع], $D$5, Tbl_Contributions[اسم المساهم], $B39))</f>
        <v/>
      </c>
      <c r="I39" s="3" t="str">
        <f>IF($C39=0,"",SUMIFS(Tbl_Contributions[إجمالي المستحق للمساهم], Tbl_Contributions[اسم المشروع], $D$5, Tbl_Contributions[اسم المساهم], $B39))</f>
        <v/>
      </c>
      <c r="J39" s="3" t="str">
        <f>IF($C39=0,"",SUMIFS(Tbl_Contributions[المسحوبات (تتضمن رد رأس المال والأرباح)], Tbl_Contributions[اسم المشروع], $D$5, Tbl_Contributions[اسم المساهم], $B39))</f>
        <v/>
      </c>
      <c r="K39" s="3" t="str">
        <f t="shared" si="0"/>
        <v/>
      </c>
    </row>
    <row r="40" spans="2:11" x14ac:dyDescent="0.25">
      <c r="B40" s="3">
        <f>IFERROR(INDEX(Tbl_Investors[اسم المساهم], 29), "")</f>
        <v>0</v>
      </c>
      <c r="C40" s="3">
        <f>IF($B40="","",SUMIFS(Tbl_Contributions[رأس مال المساهم], Tbl_Contributions[اسم المشروع], $D$5, Tbl_Contributions[اسم المساهم], $B40))</f>
        <v>0</v>
      </c>
      <c r="D40" s="4" t="str">
        <f>IF($C40=0,"",$C40/SUMIFS(Tbl_Contributions[رأس مال المساهم], Tbl_Contributions[اسم المشروع], $D$5))</f>
        <v/>
      </c>
      <c r="E40" s="4" t="str">
        <f>IF($C40=0,"",SUMIFS(Tbl_Contributions[نسبة الإدارة الخاصة به], Tbl_Contributions[اسم المشروع], $D$5, Tbl_Contributions[اسم المساهم], $B40))</f>
        <v/>
      </c>
      <c r="F40" s="3" t="str">
        <f>IF($C40=0,"",SUMIFS(Tbl_Contributions[حصة الربح قبل الإدارة], Tbl_Contributions[اسم المشروع], $D$5, Tbl_Contributions[اسم المساهم], $B40))</f>
        <v/>
      </c>
      <c r="G40" s="3" t="str">
        <f>IF($C40=0,"",SUMIFS(Tbl_Contributions[نصيب الإدارة], Tbl_Contributions[اسم المشروع], $D$5, Tbl_Contributions[اسم المساهم], $B40))</f>
        <v/>
      </c>
      <c r="H40" s="3" t="str">
        <f>IF($C40=0,"",SUMIFS(Tbl_Contributions[صافي ربح المساهم], Tbl_Contributions[اسم المشروع], $D$5, Tbl_Contributions[اسم المساهم], $B40))</f>
        <v/>
      </c>
      <c r="I40" s="3" t="str">
        <f>IF($C40=0,"",SUMIFS(Tbl_Contributions[إجمالي المستحق للمساهم], Tbl_Contributions[اسم المشروع], $D$5, Tbl_Contributions[اسم المساهم], $B40))</f>
        <v/>
      </c>
      <c r="J40" s="3" t="str">
        <f>IF($C40=0,"",SUMIFS(Tbl_Contributions[المسحوبات (تتضمن رد رأس المال والأرباح)], Tbl_Contributions[اسم المشروع], $D$5, Tbl_Contributions[اسم المساهم], $B40))</f>
        <v/>
      </c>
      <c r="K40" s="3" t="str">
        <f t="shared" si="0"/>
        <v/>
      </c>
    </row>
    <row r="41" spans="2:11" x14ac:dyDescent="0.25">
      <c r="B41" s="3">
        <f>IFERROR(INDEX(Tbl_Investors[اسم المساهم], 30), "")</f>
        <v>0</v>
      </c>
      <c r="C41" s="3">
        <f>IF($B41="","",SUMIFS(Tbl_Contributions[رأس مال المساهم], Tbl_Contributions[اسم المشروع], $D$5, Tbl_Contributions[اسم المساهم], $B41))</f>
        <v>0</v>
      </c>
      <c r="D41" s="4" t="str">
        <f>IF($C41=0,"",$C41/SUMIFS(Tbl_Contributions[رأس مال المساهم], Tbl_Contributions[اسم المشروع], $D$5))</f>
        <v/>
      </c>
      <c r="E41" s="4" t="str">
        <f>IF($C41=0,"",SUMIFS(Tbl_Contributions[نسبة الإدارة الخاصة به], Tbl_Contributions[اسم المشروع], $D$5, Tbl_Contributions[اسم المساهم], $B41))</f>
        <v/>
      </c>
      <c r="F41" s="3" t="str">
        <f>IF($C41=0,"",SUMIFS(Tbl_Contributions[حصة الربح قبل الإدارة], Tbl_Contributions[اسم المشروع], $D$5, Tbl_Contributions[اسم المساهم], $B41))</f>
        <v/>
      </c>
      <c r="G41" s="3" t="str">
        <f>IF($C41=0,"",SUMIFS(Tbl_Contributions[نصيب الإدارة], Tbl_Contributions[اسم المشروع], $D$5, Tbl_Contributions[اسم المساهم], $B41))</f>
        <v/>
      </c>
      <c r="H41" s="3" t="str">
        <f>IF($C41=0,"",SUMIFS(Tbl_Contributions[صافي ربح المساهم], Tbl_Contributions[اسم المشروع], $D$5, Tbl_Contributions[اسم المساهم], $B41))</f>
        <v/>
      </c>
      <c r="I41" s="3" t="str">
        <f>IF($C41=0,"",SUMIFS(Tbl_Contributions[إجمالي المستحق للمساهم], Tbl_Contributions[اسم المشروع], $D$5, Tbl_Contributions[اسم المساهم], $B41))</f>
        <v/>
      </c>
      <c r="J41" s="3" t="str">
        <f>IF($C41=0,"",SUMIFS(Tbl_Contributions[المسحوبات (تتضمن رد رأس المال والأرباح)], Tbl_Contributions[اسم المشروع], $D$5, Tbl_Contributions[اسم المساهم], $B41))</f>
        <v/>
      </c>
      <c r="K41" s="3" t="str">
        <f t="shared" si="0"/>
        <v/>
      </c>
    </row>
  </sheetData>
  <mergeCells count="1">
    <mergeCell ref="B2:K3"/>
  </mergeCells>
  <dataValidations count="1">
    <dataValidation type="list" showInputMessage="1" showErrorMessage="1" sqref="D5">
      <formula1>ProjList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showGridLines="0" rightToLeft="1" workbookViewId="0"/>
  </sheetViews>
  <sheetFormatPr defaultRowHeight="15" x14ac:dyDescent="0.25"/>
  <cols>
    <col min="1" max="26" width="15.7109375" customWidth="1"/>
  </cols>
  <sheetData>
    <row r="2" spans="2:10" x14ac:dyDescent="0.25">
      <c r="C2" s="14" t="s">
        <v>237</v>
      </c>
      <c r="D2" s="15"/>
      <c r="E2" s="15"/>
      <c r="F2" s="15"/>
      <c r="G2" s="15"/>
      <c r="H2" s="15"/>
      <c r="I2" s="15"/>
      <c r="J2" s="15"/>
    </row>
    <row r="3" spans="2:10" x14ac:dyDescent="0.25">
      <c r="C3" s="15"/>
      <c r="D3" s="15"/>
      <c r="E3" s="15"/>
      <c r="F3" s="15"/>
      <c r="G3" s="15"/>
      <c r="H3" s="15"/>
      <c r="I3" s="15"/>
      <c r="J3" s="15"/>
    </row>
    <row r="6" spans="2:10" ht="30" customHeight="1" x14ac:dyDescent="0.25">
      <c r="C6" s="1" t="s">
        <v>238</v>
      </c>
      <c r="E6" s="1" t="s">
        <v>110</v>
      </c>
      <c r="G6" s="1" t="s">
        <v>239</v>
      </c>
      <c r="I6" s="1" t="s">
        <v>115</v>
      </c>
    </row>
    <row r="7" spans="2:10" x14ac:dyDescent="0.25">
      <c r="C7" s="3">
        <f>COUNTIFS(Tbl_Projects[حالة المشروع], "قيد التنفيذ")</f>
        <v>3</v>
      </c>
      <c r="E7" s="3">
        <f>SUM(Tbl_Projects[إجمالي رأس المال])</f>
        <v>41600000.009999998</v>
      </c>
      <c r="G7" s="3">
        <f>SUM(Tbl_Projects[إجمالي التحصيل الفعلي])</f>
        <v>12569000</v>
      </c>
      <c r="I7" s="3">
        <f>SUM(Tbl_Projects[إجمالي المصروفات])</f>
        <v>180000</v>
      </c>
    </row>
    <row r="9" spans="2:10" ht="30" customHeight="1" x14ac:dyDescent="0.25">
      <c r="C9" s="1" t="s">
        <v>240</v>
      </c>
      <c r="E9" s="1" t="s">
        <v>241</v>
      </c>
      <c r="G9" s="1" t="s">
        <v>242</v>
      </c>
      <c r="I9" s="1" t="s">
        <v>243</v>
      </c>
    </row>
    <row r="10" spans="2:10" x14ac:dyDescent="0.25">
      <c r="C10" s="3">
        <f>SUM(Tbl_Projects[صافي الربح])</f>
        <v>-29211000.009999998</v>
      </c>
      <c r="E10" s="3">
        <f>SUMIFS(Tbl_Distributions[المبلغ], Tbl_Distributions[نوع العملية], "&lt;&gt;مسحوب للإدارة", Tbl_Distributions[نوع العملية], "&lt;&gt;تحويل بين المشاريع")</f>
        <v>1985000</v>
      </c>
      <c r="G10" s="3">
        <f>SUMIFS(Tbl_Distributions[المبلغ], Tbl_Distributions[نوع العملية], "مسحوب للإدارة")</f>
        <v>0</v>
      </c>
      <c r="I10" s="3" t="e">
        <f>SUM(Tbl_Projects[التحويلات الواردة])</f>
        <v>#REF!</v>
      </c>
    </row>
    <row r="12" spans="2:10" ht="45" customHeight="1" x14ac:dyDescent="0.3">
      <c r="B12" s="8" t="s">
        <v>244</v>
      </c>
      <c r="C12" s="1" t="s">
        <v>245</v>
      </c>
    </row>
    <row r="13" spans="2:10" x14ac:dyDescent="0.25">
      <c r="C13" s="3">
        <f>SUM(Tbl_Contributions[المتبقي للمساهم])</f>
        <v>10260000.000000004</v>
      </c>
    </row>
    <row r="14" spans="2:10" x14ac:dyDescent="0.25">
      <c r="B14" s="9" t="s">
        <v>246</v>
      </c>
      <c r="D14" s="9" t="s">
        <v>119</v>
      </c>
      <c r="F14" s="9" t="s">
        <v>120</v>
      </c>
      <c r="H14" s="9" t="s">
        <v>247</v>
      </c>
      <c r="J14" s="9" t="s">
        <v>248</v>
      </c>
    </row>
    <row r="15" spans="2:10" x14ac:dyDescent="0.25">
      <c r="B15">
        <f>SUM(المبيعات!G:G)</f>
        <v>4000000</v>
      </c>
      <c r="D15">
        <f>SUMIFS(المبيعات!G:G, المبيعات!H:H, "كاش")</f>
        <v>4000000</v>
      </c>
      <c r="F15">
        <f>SUMIFS(المبيعات!G:G, المبيعات!H:H, "تقسيط")</f>
        <v>0</v>
      </c>
      <c r="H15">
        <f>SUM(المبيعات!O:O)</f>
        <v>4000000</v>
      </c>
      <c r="J15" t="e">
        <f>SUMIFS(جدول [2]الأقساط!G:G, جدول [2]الأقساط!H:H, "متأخر")</f>
        <v>#NAME?</v>
      </c>
    </row>
  </sheetData>
  <mergeCells count="1">
    <mergeCell ref="C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الإعدادات</vt:lpstr>
      <vt:lpstr>المساهمون</vt:lpstr>
      <vt:lpstr>المشاريع</vt:lpstr>
      <vt:lpstr>مساهمات المشاريع</vt:lpstr>
      <vt:lpstr>المبيعات</vt:lpstr>
      <vt:lpstr>جدول الأقساط</vt:lpstr>
      <vt:lpstr>تقرير مراحل المشروع</vt:lpstr>
      <vt:lpstr>التحصيلات</vt:lpstr>
      <vt:lpstr>المصروفات</vt:lpstr>
      <vt:lpstr>مراجعة البيانات</vt:lpstr>
      <vt:lpstr>التوزيعات والتسويات</vt:lpstr>
      <vt:lpstr>كشف حساب المساهم</vt:lpstr>
      <vt:lpstr>كشف حساب المشروع</vt:lpstr>
      <vt:lpstr>Dashboard</vt:lpstr>
      <vt:lpstr>ColTypes</vt:lpstr>
      <vt:lpstr>DistTypes</vt:lpstr>
      <vt:lpstr>ExpTypes</vt:lpstr>
      <vt:lpstr>InvList</vt:lpstr>
      <vt:lpstr>ProjList</vt:lpstr>
      <vt:lpstr>ProjStatus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asd</cp:lastModifiedBy>
  <dcterms:created xsi:type="dcterms:W3CDTF">2026-09-05T02:06:49Z</dcterms:created>
  <dcterms:modified xsi:type="dcterms:W3CDTF">2026-10-06T19:49:23Z</dcterms:modified>
</cp:coreProperties>
</file>